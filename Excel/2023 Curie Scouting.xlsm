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Lakowske\Downloads\"/>
    </mc:Choice>
  </mc:AlternateContent>
  <xr:revisionPtr revIDLastSave="0" documentId="13_ncr:1_{D03C72BB-6118-4ECE-96BF-59469893AEBB}" xr6:coauthVersionLast="47" xr6:coauthVersionMax="47" xr10:uidLastSave="{00000000-0000-0000-0000-000000000000}"/>
  <bookViews>
    <workbookView xWindow="-108" yWindow="-108" windowWidth="23256" windowHeight="12576" tabRatio="806" activeTab="5" xr2:uid="{BB1F9FFD-16FD-45DA-8769-054BD3DB5F31}"/>
  </bookViews>
  <sheets>
    <sheet name="Control" sheetId="3" r:id="rId1"/>
    <sheet name="Pit Scouting Data" sheetId="35" state="hidden" r:id="rId2"/>
    <sheet name="Match Scouting Data" sheetId="8" r:id="rId3"/>
    <sheet name="Image Maps" sheetId="34" state="hidden" r:id="rId4"/>
    <sheet name="Match Data" sheetId="42" r:id="rId5"/>
    <sheet name="Team Data" sheetId="39" r:id="rId6"/>
    <sheet name="Match Preview" sheetId="41" r:id="rId7"/>
  </sheets>
  <functionGroups builtInGroupCount="19"/>
  <definedNames>
    <definedName name="AAA">#REF!</definedName>
    <definedName name="alliance_status_str">#REF!</definedName>
    <definedName name="AllianceColor" localSheetId="3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3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3">#REF!</definedName>
    <definedName name="CycleTimes">#REF!</definedName>
    <definedName name="Data">'Match Scouting Data'!#REF!</definedName>
    <definedName name="DefenseType" localSheetId="3">#REF!</definedName>
    <definedName name="DefenseType">#REF!</definedName>
    <definedName name="dq">#REF!</definedName>
    <definedName name="DriverSkillValues" localSheetId="3">#REF!</definedName>
    <definedName name="DriverSkillValues">#REF!</definedName>
    <definedName name="EndGame">#REF!</definedName>
    <definedName name="event">#REF!</definedName>
    <definedName name="EVENT_NAME">Control!#REF!</definedName>
    <definedName name="eventKey">Control!#REF!</definedName>
    <definedName name="eventList" localSheetId="3">#REF!</definedName>
    <definedName name="eventList">#REF!</definedName>
    <definedName name="eventNames" localSheetId="3">#REF!</definedName>
    <definedName name="eventNames">#REF!</definedName>
    <definedName name="ExternalData_1" localSheetId="4" hidden="1">'Match Data'!$A$3:$AI$5</definedName>
    <definedName name="HABClimb">#REF!</definedName>
    <definedName name="HatchPanel">#REF!</definedName>
    <definedName name="HEAT_MAP_MATRIX">#REF!</definedName>
    <definedName name="HEATMAP_TEAM_NUM" localSheetId="3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3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3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3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3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3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3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3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3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3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3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3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3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3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3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3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3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3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3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3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3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3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3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3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3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3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3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3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3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3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3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3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3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3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3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3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3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3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3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3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3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3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3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3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3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3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3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3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3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3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3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3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3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3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3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3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3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3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3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3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3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3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3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3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3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3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3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3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3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3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3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3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3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3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3">#REF!</definedName>
    <definedName name="RobotNum">#REF!</definedName>
    <definedName name="rookie_year">#REF!</definedName>
    <definedName name="SandstormBonus">#REF!</definedName>
    <definedName name="Scouters" localSheetId="3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3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3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5" i="42" l="1"/>
  <c r="AJ4" i="42"/>
  <c r="C2" i="39"/>
  <c r="G6" i="39"/>
  <c r="G7" i="39"/>
  <c r="D6" i="39"/>
  <c r="D7" i="39"/>
  <c r="C5" i="39"/>
  <c r="C6" i="39"/>
  <c r="C7" i="39"/>
  <c r="E3" i="8"/>
  <c r="BD3" i="8"/>
  <c r="BE3" i="8"/>
  <c r="BF3" i="8"/>
  <c r="BJ3" i="8"/>
  <c r="BK3" i="8"/>
  <c r="BL3" i="8"/>
  <c r="BL2" i="8"/>
  <c r="BK2" i="8"/>
  <c r="BJ2" i="8"/>
  <c r="BF2" i="8"/>
  <c r="BE2" i="8"/>
  <c r="BD2" i="8"/>
  <c r="E2" i="8"/>
  <c r="AR3" i="8"/>
  <c r="BS3" i="8"/>
  <c r="AK3" i="8"/>
  <c r="AS3" i="8"/>
  <c r="AL3" i="8"/>
  <c r="AT3" i="8"/>
  <c r="BR3" i="8"/>
  <c r="AM3" i="8"/>
  <c r="AU3" i="8"/>
  <c r="AN3" i="8"/>
  <c r="AV3" i="8"/>
  <c r="BT3" i="8"/>
  <c r="BU3" i="8"/>
  <c r="BN3" i="8"/>
  <c r="AO3" i="8"/>
  <c r="AW3" i="8"/>
  <c r="BP3" i="8"/>
  <c r="BQ3" i="8"/>
  <c r="AP3" i="8"/>
  <c r="AQ3" i="8"/>
  <c r="BO3" i="8"/>
  <c r="BU2" i="8"/>
  <c r="AN2" i="8"/>
  <c r="BT2" i="8"/>
  <c r="AO2" i="8"/>
  <c r="AT2" i="8"/>
  <c r="BS2" i="8"/>
  <c r="AW2" i="8"/>
  <c r="AM2" i="8"/>
  <c r="BR2" i="8"/>
  <c r="AU2" i="8"/>
  <c r="BQ2" i="8"/>
  <c r="AP2" i="8"/>
  <c r="AV2" i="8"/>
  <c r="BP2" i="8"/>
  <c r="AR2" i="8"/>
  <c r="AQ2" i="8"/>
  <c r="BO2" i="8"/>
  <c r="AK2" i="8"/>
  <c r="AL2" i="8"/>
  <c r="BN2" i="8"/>
  <c r="AS2" i="8"/>
  <c r="BV2" i="8" l="1"/>
  <c r="BW2" i="8"/>
  <c r="BX2" i="8"/>
  <c r="BY2" i="8"/>
  <c r="BW3" i="8"/>
  <c r="BY3" i="8"/>
  <c r="BX3" i="8"/>
  <c r="BV3" i="8"/>
  <c r="BG3" i="8"/>
  <c r="BC3" i="8"/>
  <c r="BB3" i="8"/>
  <c r="BH3" i="8"/>
  <c r="BA3" i="8"/>
  <c r="BI3" i="8"/>
  <c r="AZ3" i="8"/>
  <c r="AY3" i="8"/>
  <c r="AX3" i="8"/>
  <c r="BI2" i="8"/>
  <c r="BG2" i="8"/>
  <c r="BH2" i="8"/>
  <c r="G5" i="39" s="1"/>
  <c r="AZ2" i="8"/>
  <c r="AY2" i="8"/>
  <c r="AX2" i="8"/>
  <c r="BC2" i="8"/>
  <c r="BB2" i="8"/>
  <c r="BA2" i="8"/>
  <c r="BM3" i="8" l="1"/>
  <c r="BM2" i="8"/>
  <c r="D5" i="3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S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F25E04-9AEF-45A1-A875-B3CB88830DB2}" keepAlive="1" name="Query - ScoutingData" description="Connection to the 'ScoutingData' query in the workbook." type="5" refreshedVersion="8" background="1" saveData="1">
    <dbPr connection="Provider=Microsoft.Mashup.OleDb.1;Data Source=$Workbook$;Location=ScoutingData;Extended Properties=&quot;&quot;" command="SELECT * FROM [ScoutingData]"/>
  </connection>
</connections>
</file>

<file path=xl/sharedStrings.xml><?xml version="1.0" encoding="utf-8"?>
<sst xmlns="http://schemas.openxmlformats.org/spreadsheetml/2006/main" count="200" uniqueCount="171">
  <si>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</si>
  <si>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</si>
  <si>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</si>
  <si>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</si>
  <si>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</si>
  <si>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</si>
  <si>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</si>
  <si>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</si>
  <si>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</si>
  <si>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</si>
  <si>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</si>
  <si>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</si>
  <si>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</si>
  <si>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</si>
  <si>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</si>
  <si>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</si>
  <si>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</si>
  <si>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</si>
  <si>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x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</si>
  <si>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</si>
  <si>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</si>
  <si>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</si>
  <si>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</si>
  <si>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</si>
  <si>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</si>
  <si>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</si>
  <si>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</si>
  <si>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</si>
  <si>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</si>
  <si>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</si>
  <si>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</si>
  <si>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</si>
  <si>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</si>
  <si>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</si>
  <si>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</si>
  <si>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</si>
  <si>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</si>
  <si>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</si>
  <si>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</si>
  <si>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</si>
  <si>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</si>
  <si>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</si>
  <si>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</si>
  <si>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</si>
  <si>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</si>
  <si>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</si>
  <si>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</si>
  <si>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</si>
  <si>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</si>
  <si>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</si>
  <si>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</si>
  <si>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</si>
  <si>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</si>
  <si>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</si>
  <si>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</si>
  <si>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</si>
  <si>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</si>
  <si>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</si>
  <si>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</si>
  <si>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</si>
  <si>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</si>
  <si>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</si>
  <si>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</si>
  <si>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</si>
  <si>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</si>
  <si>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</si>
  <si>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n</t>
  </si>
  <si>
    <t>Y</t>
  </si>
  <si>
    <t>crossCS</t>
  </si>
  <si>
    <t>numberOfBatteries</t>
  </si>
  <si>
    <t>scoutingMethod</t>
  </si>
  <si>
    <t>s</t>
  </si>
  <si>
    <t>N</t>
  </si>
  <si>
    <t>Too many to count</t>
  </si>
  <si>
    <t>ScoutingPASS</t>
  </si>
  <si>
    <t>No comments</t>
  </si>
  <si>
    <t>autoAttempted</t>
  </si>
  <si>
    <t>substationUsed</t>
  </si>
  <si>
    <t>u</t>
  </si>
  <si>
    <t>ML</t>
  </si>
  <si>
    <t>2023curie</t>
  </si>
  <si>
    <t>r1</t>
  </si>
  <si>
    <t>[16,15,5,4,13,14]</t>
  </si>
  <si>
    <t>d</t>
  </si>
  <si>
    <t>SCOUTING PASS</t>
  </si>
  <si>
    <t>starting position</t>
  </si>
  <si>
    <t>auto climb</t>
  </si>
  <si>
    <t>auto line cross</t>
  </si>
  <si>
    <t>total auto pts</t>
  </si>
  <si>
    <t>auto class</t>
  </si>
  <si>
    <t>total teleop pts</t>
  </si>
  <si>
    <t>end climb attempt</t>
  </si>
  <si>
    <t>end state</t>
  </si>
  <si>
    <t>end pts</t>
  </si>
  <si>
    <t>total attr pts</t>
  </si>
  <si>
    <t>Team #</t>
  </si>
  <si>
    <t>Team Name</t>
  </si>
  <si>
    <t>TC Robotics</t>
  </si>
  <si>
    <t>Contributed Pts</t>
  </si>
  <si>
    <t>Auto Pts Smooth No Climb</t>
  </si>
  <si>
    <t>Auto Pts Middle No Climb</t>
  </si>
  <si>
    <t>Auto Pts Bump No Climb</t>
  </si>
  <si>
    <t>Teleop Pts</t>
  </si>
  <si>
    <t>Bread</t>
  </si>
  <si>
    <t>Pwnage</t>
  </si>
  <si>
    <t># Matches</t>
  </si>
  <si>
    <t>Auto Pts Smooth with Climb</t>
  </si>
  <si>
    <t>Auto Pts Middle with Climb</t>
  </si>
  <si>
    <t>Auto Pts Bump with Climb</t>
  </si>
  <si>
    <t>Auto Pts</t>
  </si>
  <si>
    <t>Total Upper Cones</t>
  </si>
  <si>
    <t>Total Mid Cones</t>
  </si>
  <si>
    <t>Total Mid Cubes</t>
  </si>
  <si>
    <t>Total Pieces</t>
  </si>
  <si>
    <t>Total Lower Pieces</t>
  </si>
  <si>
    <t>Endgame Pts Per Attempt</t>
  </si>
  <si>
    <t>Selected Auto</t>
  </si>
  <si>
    <t>Selected Auto + Teleop + Endgame</t>
  </si>
  <si>
    <t>Match #</t>
  </si>
  <si>
    <t>Auto Climb</t>
  </si>
  <si>
    <t>Auto Line Cross</t>
  </si>
  <si>
    <t>Total Auto Pts</t>
  </si>
  <si>
    <t>Teleop Total Pieces</t>
  </si>
  <si>
    <t>Total Teleop Pts</t>
  </si>
  <si>
    <t>Auto High Cube</t>
  </si>
  <si>
    <t>[2,9,8,26]</t>
  </si>
  <si>
    <t>Auto High Cone</t>
  </si>
  <si>
    <t>Auto Mid Cube</t>
  </si>
  <si>
    <t>Auto Mid Cone</t>
  </si>
  <si>
    <t>Teleop High Cube</t>
  </si>
  <si>
    <t>Teleop High Cone</t>
  </si>
  <si>
    <t>Teleop Mid Cube</t>
  </si>
  <si>
    <t>Teleop Mid Cone</t>
  </si>
  <si>
    <t>smooth</t>
  </si>
  <si>
    <t>no attempt</t>
  </si>
  <si>
    <t>yes</t>
  </si>
  <si>
    <t>docked</t>
  </si>
  <si>
    <t>Match Level</t>
  </si>
  <si>
    <t>Robot #</t>
  </si>
  <si>
    <t>Scouter</t>
  </si>
  <si>
    <t>Total Pts Attr</t>
  </si>
  <si>
    <t>Starting Pos</t>
  </si>
  <si>
    <t>Auto Attempted Pieces</t>
  </si>
  <si>
    <t>Auto Total Pieces</t>
  </si>
  <si>
    <t>Auto Low Pieces</t>
  </si>
  <si>
    <t>Teleop Low Pieces</t>
  </si>
  <si>
    <t>Total Game Pieces</t>
  </si>
  <si>
    <t>Total Cubes</t>
  </si>
  <si>
    <t>Total Cones</t>
  </si>
  <si>
    <t>Attempted End Climb</t>
  </si>
  <si>
    <t>End State</t>
  </si>
  <si>
    <t># Robots on Station</t>
  </si>
  <si>
    <t>Engame Pts</t>
  </si>
  <si>
    <t>Died or Tipped Over</t>
  </si>
  <si>
    <t>Almost Tipped Over</t>
  </si>
  <si>
    <t>Dropping Pieces</t>
  </si>
  <si>
    <t>Comments</t>
  </si>
  <si>
    <t>Filtered</t>
  </si>
  <si>
    <t>Match Range</t>
  </si>
  <si>
    <t>Ml</t>
  </si>
  <si>
    <t>b2</t>
  </si>
  <si>
    <t>[5]</t>
  </si>
  <si>
    <t>e</t>
  </si>
  <si>
    <t>[2,3,4,13,16,15]</t>
  </si>
  <si>
    <t>b</t>
  </si>
  <si>
    <t>failed</t>
  </si>
  <si>
    <t>no</t>
  </si>
  <si>
    <t>Team</t>
  </si>
  <si>
    <t>Total High Cones</t>
  </si>
  <si>
    <t>Total High Cubes</t>
  </si>
  <si>
    <t>Total Upper Cubes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</si>
</sst>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3ds"/>
    </font>
    <font>
      <b/>
      <sz val="2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2" fillId="0" borderId="0" xfId="2" applyAlignment="1">
      <alignment vertical="center"/>
    </xf>
    <xf numFmtId="164" fontId="0" fillId="0" borderId="0" xfId="0" applyNumberFormat="1" applyAlignment="1">
      <alignment horizontal="center" vertical="center"/>
    </xf>
    <xf numFmtId="0" fontId="2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Font="1" applyFill="1"/>
    <xf numFmtId="0" fontId="0" fillId="0" borderId="0" xfId="0" applyNumberFormat="1" applyFont="1" applyFill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top" wrapText="1"/>
    </xf>
    <xf numFmtId="0" fontId="0" fillId="4" borderId="0" xfId="0" applyFont="1" applyFill="1" applyAlignment="1">
      <alignment horizontal="left" vertical="top" wrapText="1"/>
    </xf>
    <xf numFmtId="0" fontId="0" fillId="5" borderId="0" xfId="0" applyFont="1" applyFill="1" applyAlignment="1">
      <alignment horizontal="left" vertical="top" wrapText="1"/>
    </xf>
    <xf numFmtId="0" fontId="0" fillId="6" borderId="0" xfId="0" applyFont="1" applyFill="1" applyAlignment="1">
      <alignment horizontal="left" vertical="top" wrapText="1"/>
    </xf>
    <xf numFmtId="0" fontId="0" fillId="7" borderId="0" xfId="0" applyFont="1" applyFill="1" applyAlignment="1">
      <alignment horizontal="left" vertical="top" wrapText="1"/>
    </xf>
    <xf numFmtId="0" fontId="0" fillId="8" borderId="0" xfId="0" applyFont="1" applyFill="1" applyAlignment="1">
      <alignment horizontal="left" vertical="top" wrapText="1"/>
    </xf>
    <xf numFmtId="0" fontId="6" fillId="9" borderId="0" xfId="0" applyFont="1" applyFill="1" applyAlignment="1">
      <alignment horizontal="left" vertical="top" wrapText="1"/>
    </xf>
    <xf numFmtId="0" fontId="6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top" wrapText="1"/>
    </xf>
    <xf numFmtId="0" fontId="6" fillId="7" borderId="0" xfId="0" applyFont="1" applyFill="1" applyAlignment="1">
      <alignment horizontal="left" vertical="top" wrapText="1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left" vertical="center" wrapText="1"/>
    </xf>
    <xf numFmtId="0" fontId="5" fillId="11" borderId="0" xfId="0" applyFont="1" applyFill="1"/>
    <xf numFmtId="0" fontId="5" fillId="0" borderId="0" xfId="0" applyFont="1" applyFill="1"/>
    <xf numFmtId="0" fontId="8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123"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896D"/>
      <color rgb="FFFF6464"/>
      <color rgb="FFBA8CDC"/>
      <color rgb="FFFFFF99"/>
      <color rgb="FFFFCCCC"/>
      <color rgb="FFFFFF4B"/>
      <color rgb="FFFF20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45720</xdr:rowOff>
    </xdr:from>
    <xdr:to>
      <xdr:col>4</xdr:col>
      <xdr:colOff>137160</xdr:colOff>
      <xdr:row>0</xdr:row>
      <xdr:rowOff>297180</xdr:rowOff>
    </xdr:to>
    <xdr:sp macro="[0]!Team_Filter" textlink="">
      <xdr:nvSpPr>
        <xdr:cNvPr id="2" name="Rectangle 1">
          <a:extLst>
            <a:ext uri="{FF2B5EF4-FFF2-40B4-BE49-F238E27FC236}">
              <a16:creationId xmlns:a16="http://schemas.microsoft.com/office/drawing/2014/main" id="{5D09D05F-DE1B-56BE-D0C5-AB024B0BC8B8}"/>
            </a:ext>
          </a:extLst>
        </xdr:cNvPr>
        <xdr:cNvSpPr/>
      </xdr:nvSpPr>
      <xdr:spPr>
        <a:xfrm>
          <a:off x="1684020" y="45720"/>
          <a:ext cx="647700" cy="251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FILTER</a:t>
          </a:r>
        </a:p>
        <a:p>
          <a:pPr algn="l"/>
          <a:endParaRPr lang="en-US" sz="1100"/>
        </a:p>
      </xdr:txBody>
    </xdr:sp>
    <xdr:clientData/>
  </xdr:twoCellAnchor>
  <xdr:twoCellAnchor>
    <xdr:from>
      <xdr:col>4</xdr:col>
      <xdr:colOff>175260</xdr:colOff>
      <xdr:row>0</xdr:row>
      <xdr:rowOff>38100</xdr:rowOff>
    </xdr:from>
    <xdr:to>
      <xdr:col>6</xdr:col>
      <xdr:colOff>30480</xdr:colOff>
      <xdr:row>0</xdr:row>
      <xdr:rowOff>320040</xdr:rowOff>
    </xdr:to>
    <xdr:sp macro="[0]!UpdateTables" textlink="">
      <xdr:nvSpPr>
        <xdr:cNvPr id="3" name="TextBox 2">
          <a:extLst>
            <a:ext uri="{FF2B5EF4-FFF2-40B4-BE49-F238E27FC236}">
              <a16:creationId xmlns:a16="http://schemas.microsoft.com/office/drawing/2014/main" id="{796C4DC1-718D-DB0D-8256-8740F2CCB943}"/>
            </a:ext>
          </a:extLst>
        </xdr:cNvPr>
        <xdr:cNvSpPr txBox="1"/>
      </xdr:nvSpPr>
      <xdr:spPr>
        <a:xfrm>
          <a:off x="2369820" y="38100"/>
          <a:ext cx="990600" cy="281940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Update Data</a:t>
          </a:r>
        </a:p>
      </xdr:txBody>
    </xdr:sp>
    <xdr:clientData/>
  </xdr:twoCellAnchor>
  <xdr:twoCellAnchor>
    <xdr:from>
      <xdr:col>4</xdr:col>
      <xdr:colOff>358140</xdr:colOff>
      <xdr:row>1</xdr:row>
      <xdr:rowOff>68580</xdr:rowOff>
    </xdr:from>
    <xdr:to>
      <xdr:col>5</xdr:col>
      <xdr:colOff>441960</xdr:colOff>
      <xdr:row>1</xdr:row>
      <xdr:rowOff>342900</xdr:rowOff>
    </xdr:to>
    <xdr:sp macro="[0]!HideMatchColumns" textlink="">
      <xdr:nvSpPr>
        <xdr:cNvPr id="4" name="TextBox 3">
          <a:extLst>
            <a:ext uri="{FF2B5EF4-FFF2-40B4-BE49-F238E27FC236}">
              <a16:creationId xmlns:a16="http://schemas.microsoft.com/office/drawing/2014/main" id="{6FC0B460-85EF-BEE4-600C-D4F91FA16748}"/>
            </a:ext>
          </a:extLst>
        </xdr:cNvPr>
        <xdr:cNvSpPr txBox="1"/>
      </xdr:nvSpPr>
      <xdr:spPr>
        <a:xfrm>
          <a:off x="2552700" y="403860"/>
          <a:ext cx="632460" cy="274320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chemeClr val="bg1"/>
              </a:solidFill>
            </a:rPr>
            <a:t>Simple </a:t>
          </a:r>
        </a:p>
      </xdr:txBody>
    </xdr:sp>
    <xdr:clientData/>
  </xdr:twoCellAnchor>
  <xdr:twoCellAnchor>
    <xdr:from>
      <xdr:col>3</xdr:col>
      <xdr:colOff>45720</xdr:colOff>
      <xdr:row>1</xdr:row>
      <xdr:rowOff>60960</xdr:rowOff>
    </xdr:from>
    <xdr:to>
      <xdr:col>4</xdr:col>
      <xdr:colOff>304800</xdr:colOff>
      <xdr:row>1</xdr:row>
      <xdr:rowOff>342900</xdr:rowOff>
    </xdr:to>
    <xdr:sp macro="[0]!UnhideAll" textlink="">
      <xdr:nvSpPr>
        <xdr:cNvPr id="5" name="TextBox 4">
          <a:extLst>
            <a:ext uri="{FF2B5EF4-FFF2-40B4-BE49-F238E27FC236}">
              <a16:creationId xmlns:a16="http://schemas.microsoft.com/office/drawing/2014/main" id="{F4D9A086-C043-2E7E-1E35-14C156DCD423}"/>
            </a:ext>
          </a:extLst>
        </xdr:cNvPr>
        <xdr:cNvSpPr txBox="1"/>
      </xdr:nvSpPr>
      <xdr:spPr>
        <a:xfrm>
          <a:off x="1691640" y="396240"/>
          <a:ext cx="807720" cy="281940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Advanced</a:t>
          </a:r>
        </a:p>
      </xdr:txBody>
    </xdr:sp>
    <xdr:clientData/>
  </xdr:twoCellAnchor>
  <xdr:twoCellAnchor>
    <xdr:from>
      <xdr:col>6</xdr:col>
      <xdr:colOff>68580</xdr:colOff>
      <xdr:row>0</xdr:row>
      <xdr:rowOff>45720</xdr:rowOff>
    </xdr:from>
    <xdr:to>
      <xdr:col>7</xdr:col>
      <xdr:colOff>251460</xdr:colOff>
      <xdr:row>0</xdr:row>
      <xdr:rowOff>304800</xdr:rowOff>
    </xdr:to>
    <xdr:sp macro="[0]!Reformat" textlink="">
      <xdr:nvSpPr>
        <xdr:cNvPr id="6" name="TextBox 5">
          <a:extLst>
            <a:ext uri="{FF2B5EF4-FFF2-40B4-BE49-F238E27FC236}">
              <a16:creationId xmlns:a16="http://schemas.microsoft.com/office/drawing/2014/main" id="{1EEAEA65-8F10-4AA7-A2E7-366925495558}"/>
            </a:ext>
          </a:extLst>
        </xdr:cNvPr>
        <xdr:cNvSpPr txBox="1"/>
      </xdr:nvSpPr>
      <xdr:spPr>
        <a:xfrm>
          <a:off x="3398520" y="45720"/>
          <a:ext cx="769620" cy="259080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Reformat</a:t>
          </a: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</xdr:row>
      <xdr:rowOff>22860</xdr:rowOff>
    </xdr:from>
    <xdr:to>
      <xdr:col>0</xdr:col>
      <xdr:colOff>998220</xdr:colOff>
      <xdr:row>1</xdr:row>
      <xdr:rowOff>289560</xdr:rowOff>
    </xdr:to>
    <xdr:sp macro="[0]!_xludf.Max" textlink="">
      <xdr:nvSpPr>
        <xdr:cNvPr id="2" name="TextBox 1">
          <a:extLst>
            <a:ext uri="{FF2B5EF4-FFF2-40B4-BE49-F238E27FC236}">
              <a16:creationId xmlns:a16="http://schemas.microsoft.com/office/drawing/2014/main" id="{64380C1D-B7AC-23C8-39ED-8B4545518CFD}"/>
            </a:ext>
          </a:extLst>
        </xdr:cNvPr>
        <xdr:cNvSpPr txBox="1"/>
      </xdr:nvSpPr>
      <xdr:spPr>
        <a:xfrm>
          <a:off x="22860" y="335280"/>
          <a:ext cx="975360" cy="26670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MAX</a:t>
          </a:r>
        </a:p>
      </xdr:txBody>
    </xdr:sp>
    <xdr:clientData/>
  </xdr:twoCellAnchor>
  <xdr:twoCellAnchor>
    <xdr:from>
      <xdr:col>1</xdr:col>
      <xdr:colOff>0</xdr:colOff>
      <xdr:row>1</xdr:row>
      <xdr:rowOff>30480</xdr:rowOff>
    </xdr:from>
    <xdr:to>
      <xdr:col>1</xdr:col>
      <xdr:colOff>998220</xdr:colOff>
      <xdr:row>1</xdr:row>
      <xdr:rowOff>289560</xdr:rowOff>
    </xdr:to>
    <xdr:sp macro="[0]!_xludf.Average" textlink="">
      <xdr:nvSpPr>
        <xdr:cNvPr id="3" name="TextBox 2">
          <a:extLst>
            <a:ext uri="{FF2B5EF4-FFF2-40B4-BE49-F238E27FC236}">
              <a16:creationId xmlns:a16="http://schemas.microsoft.com/office/drawing/2014/main" id="{596CC327-27FA-E385-9928-7E8EF7DB2274}"/>
            </a:ext>
          </a:extLst>
        </xdr:cNvPr>
        <xdr:cNvSpPr txBox="1"/>
      </xdr:nvSpPr>
      <xdr:spPr>
        <a:xfrm>
          <a:off x="1013460" y="342900"/>
          <a:ext cx="998220" cy="2590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</a:t>
          </a:r>
        </a:p>
      </xdr:txBody>
    </xdr:sp>
    <xdr:clientData/>
  </xdr:twoCellAnchor>
  <xdr:twoCellAnchor>
    <xdr:from>
      <xdr:col>0</xdr:col>
      <xdr:colOff>30480</xdr:colOff>
      <xdr:row>2</xdr:row>
      <xdr:rowOff>38100</xdr:rowOff>
    </xdr:from>
    <xdr:to>
      <xdr:col>0</xdr:col>
      <xdr:colOff>975360</xdr:colOff>
      <xdr:row>2</xdr:row>
      <xdr:rowOff>274320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3BFC6C8-D32A-A961-BD82-3EACB4B456CE}"/>
            </a:ext>
          </a:extLst>
        </xdr:cNvPr>
        <xdr:cNvSpPr txBox="1"/>
      </xdr:nvSpPr>
      <xdr:spPr>
        <a:xfrm>
          <a:off x="30480" y="662940"/>
          <a:ext cx="944880" cy="23622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SIMPLE</a:t>
          </a:r>
        </a:p>
      </xdr:txBody>
    </xdr:sp>
    <xdr:clientData/>
  </xdr:twoCellAnchor>
  <xdr:twoCellAnchor>
    <xdr:from>
      <xdr:col>1</xdr:col>
      <xdr:colOff>15240</xdr:colOff>
      <xdr:row>2</xdr:row>
      <xdr:rowOff>30480</xdr:rowOff>
    </xdr:from>
    <xdr:to>
      <xdr:col>1</xdr:col>
      <xdr:colOff>990600</xdr:colOff>
      <xdr:row>2</xdr:row>
      <xdr:rowOff>266700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AD24911-CE5B-71FF-98D0-B895BE9E36AD}"/>
            </a:ext>
          </a:extLst>
        </xdr:cNvPr>
        <xdr:cNvSpPr txBox="1"/>
      </xdr:nvSpPr>
      <xdr:spPr>
        <a:xfrm>
          <a:off x="1028700" y="655320"/>
          <a:ext cx="975360" cy="236220"/>
        </a:xfrm>
        <a:prstGeom prst="rect">
          <a:avLst/>
        </a:prstGeom>
        <a:solidFill>
          <a:srgbClr val="FF896D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ADVANCED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A4C2586-BF40-4781-80E9-9E69455163A5}" autoFormatId="16" applyNumberFormats="0" applyBorderFormats="0" applyFontFormats="0" applyPatternFormats="0" applyAlignmentFormats="0" applyWidthHeightFormats="0">
  <queryTableRefresh nextId="113" unboundColumnsRight="1">
    <queryTableFields count="36">
      <queryTableField id="64" name="Match Level" tableColumnId="36"/>
      <queryTableField id="65" name="Match #" tableColumnId="37"/>
      <queryTableField id="66" name="Team #" tableColumnId="38"/>
      <queryTableField id="67" name="Robot #" tableColumnId="39"/>
      <queryTableField id="1" name="scouter" tableColumnId="1"/>
      <queryTableField id="68" name="Total Pts Attr" tableColumnId="40"/>
      <queryTableField id="69" name="Starting Pos" tableColumnId="41"/>
      <queryTableField id="71" name="Auto Total Pieces" tableColumnId="43"/>
      <queryTableField id="70" name="Auto Attempted Pieces" tableColumnId="42"/>
      <queryTableField id="25" name="Auto High Cube" tableColumnId="25"/>
      <queryTableField id="26" name="Auto High Cone" tableColumnId="26"/>
      <queryTableField id="27" name="Auto Mid Cube" tableColumnId="27"/>
      <queryTableField id="28" name="Auto Mid Cone" tableColumnId="28"/>
      <queryTableField id="72" name="Auto Low Pieces" tableColumnId="44"/>
      <queryTableField id="17" name="auto climb" tableColumnId="17"/>
      <queryTableField id="18" name="auto line cross" tableColumnId="18"/>
      <queryTableField id="19" name="total auto pts" tableColumnId="19"/>
      <queryTableField id="73" name="Teleop Total Pieces" tableColumnId="45"/>
      <queryTableField id="29" name="Teleop High Cube" tableColumnId="29"/>
      <queryTableField id="30" name="Teleop High Cone" tableColumnId="30"/>
      <queryTableField id="31" name="Teleop Mid Cube" tableColumnId="31"/>
      <queryTableField id="32" name="Teleop Mid Cone" tableColumnId="32"/>
      <queryTableField id="74" name="Teleop Low Pieces" tableColumnId="46"/>
      <queryTableField id="20" name="total teleop pts" tableColumnId="20"/>
      <queryTableField id="75" name="Total Game Pieces" tableColumnId="47"/>
      <queryTableField id="76" name="Total Cubes" tableColumnId="48"/>
      <queryTableField id="77" name="Total Cones" tableColumnId="49"/>
      <queryTableField id="78" name="Attempted End Climb" tableColumnId="50"/>
      <queryTableField id="22" name="end state" tableColumnId="22"/>
      <queryTableField id="79" name="# Robots on Station" tableColumnId="51"/>
      <queryTableField id="80" name="Engame Pts" tableColumnId="52"/>
      <queryTableField id="81" name="Died or Tipped Over" tableColumnId="53"/>
      <queryTableField id="82" name="Almost Tipped Over" tableColumnId="54"/>
      <queryTableField id="83" name="Dropping Pieces" tableColumnId="55"/>
      <queryTableField id="10" name="comments" tableColumnId="10"/>
      <queryTableField id="104" dataBound="0" tableColumnId="5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N2" totalsRowShown="0">
  <autoFilter ref="A1:N2" xr:uid="{CBEAABB8-2C6B-4E66-9BAB-70EEDCF439E9}"/>
  <tableColumns count="14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  <tableColumn id="13" xr3:uid="{B6418E55-AAA0-4EBA-9F28-E71A2E47CC7C}" name="scoutingMethod"/>
    <tableColumn id="14" xr3:uid="{62B9D56F-470D-4E36-93F5-61896B3D221B}" name="commen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Y3" totalsRowShown="0" headerRowDxfId="122" dataDxfId="121" tableBorderDxfId="120">
  <autoFilter ref="A1:BY3" xr:uid="{00000000-0009-0000-0100-00000A000000}"/>
  <tableColumns count="77">
    <tableColumn id="2" xr3:uid="{57120D76-837B-420B-8789-742C14F566ED}" name="scouter" dataDxfId="119"/>
    <tableColumn id="34" xr3:uid="{CC380EE1-D4BB-490E-9A04-7D40FF472162}" name="eventCode" dataDxfId="118"/>
    <tableColumn id="33" xr3:uid="{AAAE748B-CC35-4AA8-A5E1-7D881177BFA8}" name="matchLevel" dataDxfId="117"/>
    <tableColumn id="32" xr3:uid="{A9872F3F-D581-458A-8B2B-0607C0A28C41}" name="matchNumber" dataDxfId="116"/>
    <tableColumn id="1" xr3:uid="{F28CAB33-6A98-4F06-B9E8-8BAEB150DCCB}" name="match_key" dataDxfId="115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114"/>
    <tableColumn id="3" xr3:uid="{6FD25F9C-1F41-497F-BFF4-9781437EA199}" name="teamNumber" dataDxfId="113"/>
    <tableColumn id="9" xr3:uid="{655949C9-B906-4060-9869-33CAEE3FAD61}" name="autoStartingLocation" dataDxfId="112"/>
    <tableColumn id="53" xr3:uid="{9C8E7B97-748E-4FB3-A341-6B1004D40060}" name="autoScoredGrid" dataDxfId="111"/>
    <tableColumn id="7" xr3:uid="{3D35E5C9-BD3B-450E-B221-F79680B29BE4}" name="autoAttempted"/>
    <tableColumn id="54" xr3:uid="{2845CF8C-3287-4062-943D-DF358FAF5016}" name="autoCrossedCable" dataDxfId="110"/>
    <tableColumn id="56" xr3:uid="{054C8AA6-8D1F-4031-86BB-F25F9CB75EB5}" name="autoCrossedChargingStation" dataDxfId="109"/>
    <tableColumn id="55" xr3:uid="{E97E3583-73A4-49A0-B392-2071F3659BD3}" name="autoMobility" dataDxfId="108"/>
    <tableColumn id="60" xr3:uid="{9884A482-69F0-407D-8CD5-09921D28C640}" name="autoDocked" dataDxfId="107"/>
    <tableColumn id="59" xr3:uid="{FE6068BA-68B8-400E-9AAB-BB0B6CE1F2F5}" name="cycleTimes" dataDxfId="106"/>
    <tableColumn id="42" xr3:uid="{54612E06-73EA-434E-A780-18CA04B3DA27}" name="scoredGrid" dataDxfId="105"/>
    <tableColumn id="16" xr3:uid="{268E6509-13CC-4DE9-BBE5-D135BD2C4E04}" name="feedCount" dataDxfId="104"/>
    <tableColumn id="72" xr3:uid="{1BF39ABD-43AB-48AB-9B6C-642CC0BB4F2B}" name="wasFed" dataDxfId="103"/>
    <tableColumn id="18" xr3:uid="{1DE9C03E-0EC4-453B-A446-4F288F60CEA0}" name="wasDefended" dataDxfId="102"/>
    <tableColumn id="63" xr3:uid="{E924EA5D-940E-4130-8769-B4F675B0C901}" name="whoDefended" dataDxfId="101"/>
    <tableColumn id="65" xr3:uid="{58AB5D2F-A4C6-477A-860D-68706D75702F}" name="smartLinks" dataDxfId="100"/>
    <tableColumn id="66" xr3:uid="{1F543861-BF4E-4A32-8143-B55D05068247}" name="floorPickUp" dataDxfId="99"/>
    <tableColumn id="15" xr3:uid="{78CD166C-3A64-429E-85A6-9705F8928231}" name="substationUsed"/>
    <tableColumn id="67" xr3:uid="{D5DF88FC-2198-4F0A-8E9C-DA3379D9166A}" name="dockingTime" dataDxfId="98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97"/>
    <tableColumn id="78" xr3:uid="{20C5E0B6-0A01-4F0F-B3C9-6C46A6606877}" name="linksScored"/>
    <tableColumn id="71" xr3:uid="{39C6D63C-65E0-4A1B-9189-2C10EE97F173}" name="defenseRating" dataDxfId="96"/>
    <tableColumn id="40" xr3:uid="{6B3426A2-A657-44CA-8ACD-00E497BD272C}" name="swerveDrive" dataDxfId="95"/>
    <tableColumn id="43" xr3:uid="{F5421853-F7E7-4FDA-8EA1-7174D740B04A}" name="speedRating" dataDxfId="94"/>
    <tableColumn id="36" xr3:uid="{9970774D-C4B7-4F0C-9212-19060A2F92F8}" name="diedOrTipped" dataDxfId="93"/>
    <tableColumn id="41" xr3:uid="{B2F88C8C-ED79-4B63-BA2D-DDA1E959A98A}" name="tippy" dataDxfId="92"/>
    <tableColumn id="79" xr3:uid="{7B8111A6-79D2-4173-9106-1A2477FFE1BB}" name="droppedCones"/>
    <tableColumn id="19" xr3:uid="{F2E04EA2-B7AF-404B-B173-D101558DDCDC}" name="goodPartner" dataDxfId="91"/>
    <tableColumn id="51" xr3:uid="{70561FAB-2633-4647-B409-2E81255BC174}" name="comments" dataDxfId="90"/>
    <tableColumn id="4" xr3:uid="{3BD88F53-BEAA-4A0C-B753-B686399DC55B}" name="autoGamePieces" dataDxfId="89">
      <calculatedColumnFormula>getTotalCount(ScoutingData[[#This Row],[autoScoredGrid]])</calculatedColumnFormula>
    </tableColumn>
    <tableColumn id="74" xr3:uid="{8B219B6A-C564-42C7-854A-776DBD5167F4}" name="autoCubes" dataDxfId="88">
      <calculatedColumnFormula>getCubeCount(ScoutingData[[#This Row],[autoScoredGrid]])</calculatedColumnFormula>
    </tableColumn>
    <tableColumn id="23" xr3:uid="{B2A0B1D7-F2FC-4F42-8DEA-EF241612981C}" name="autoCones" dataDxfId="87">
      <calculatedColumnFormula>getConeCount(ScoutingData[[#This Row],[autoScoredGrid]])</calculatedColumnFormula>
    </tableColumn>
    <tableColumn id="73" xr3:uid="{54DBEFB9-DA30-4754-A269-3E8C2E0A4782}" name="autoHigh" dataDxfId="86">
      <calculatedColumnFormula>getHighCount(ScoutingData[[#This Row],[autoScoredGrid]])</calculatedColumnFormula>
    </tableColumn>
    <tableColumn id="46" xr3:uid="{F8BC7A7C-4BF4-485A-AC53-F32862572576}" name="autoMed" dataDxfId="85">
      <calculatedColumnFormula>getMedCount(ScoutingData[[#This Row],[autoScoredGrid]])</calculatedColumnFormula>
    </tableColumn>
    <tableColumn id="47" xr3:uid="{AB8341E7-B3A8-4906-BB8C-57AB054FF592}" name="autoLow" dataDxfId="84">
      <calculatedColumnFormula>getLowCount(ScoutingData[[#This Row],[autoScoredGrid]])</calculatedColumnFormula>
    </tableColumn>
    <tableColumn id="50" xr3:uid="{3B828B9B-FFCC-4897-B7D3-C6B1C82ADE07}" name="avgCycleTime" dataDxfId="83">
      <calculatedColumnFormula>getAvgCycleTime(ScoutingData[[#This Row],[cycleTimes]])</calculatedColumnFormula>
    </tableColumn>
    <tableColumn id="27" xr3:uid="{F7CC712C-CBB5-442E-829A-FA5ED02C8777}" name="teleopGamePieces" dataDxfId="82">
      <calculatedColumnFormula>getTotalCount(ScoutingData[[#This Row],[scoredGrid]])</calculatedColumnFormula>
    </tableColumn>
    <tableColumn id="52" xr3:uid="{78438921-1E19-42E9-B8D2-48C91010F815}" name="teleopCubes" dataDxfId="81">
      <calculatedColumnFormula>getCubeCount(ScoutingData[[#This Row],[scoredGrid]])</calculatedColumnFormula>
    </tableColumn>
    <tableColumn id="5" xr3:uid="{55082722-1B0F-4677-99B8-1D067F4BDF21}" name="teleopCones" dataDxfId="80">
      <calculatedColumnFormula>getConeCount(ScoutingData[[#This Row],[scoredGrid]])</calculatedColumnFormula>
    </tableColumn>
    <tableColumn id="8" xr3:uid="{EDC1D520-5557-418E-B2ED-DDFAF2F77499}" name="teleopHigh" dataDxfId="79">
      <calculatedColumnFormula>getHighCount(ScoutingData[[#This Row],[scoredGrid]])</calculatedColumnFormula>
    </tableColumn>
    <tableColumn id="10" xr3:uid="{86B1F94A-5EEC-42C8-9CA8-F64391788CC9}" name="teleopMed" dataDxfId="78">
      <calculatedColumnFormula>getMedCount(ScoutingData[[#This Row],[scoredGrid]])</calculatedColumnFormula>
    </tableColumn>
    <tableColumn id="11" xr3:uid="{BACAA238-122F-4380-855F-29FA58977A83}" name="teleopLow" dataDxfId="77">
      <calculatedColumnFormula>getLowCount(ScoutingData[[#This Row],[scoredGrid]])</calculatedColumnFormula>
    </tableColumn>
    <tableColumn id="12" xr3:uid="{91F84488-26C9-437C-A41A-38D976771823}" name="totalGamePieces" dataDxfId="76">
      <calculatedColumnFormula>ScoutingData[[#This Row],[autoGamePieces]]+ScoutingData[[#This Row],[teleopGamePieces]]</calculatedColumnFormula>
    </tableColumn>
    <tableColumn id="13" xr3:uid="{0D7B1A40-1D30-4EA4-A5E9-E9E8707AA108}" name="totalCubes" dataDxfId="75">
      <calculatedColumnFormula>ScoutingData[[#This Row],[autoCubes]]+ScoutingData[[#This Row],[teleopCubes]]</calculatedColumnFormula>
    </tableColumn>
    <tableColumn id="14" xr3:uid="{0E79569B-84D7-4ED8-9343-E7844CF8F534}" name="totalCones" dataDxfId="74">
      <calculatedColumnFormula>ScoutingData[[#This Row],[autoCones]]+ScoutingData[[#This Row],[teleopCones]]</calculatedColumnFormula>
    </tableColumn>
    <tableColumn id="76" xr3:uid="{09B45EB6-8B77-4649-80B5-212BE270911B}" name="totalHigh" dataDxfId="73">
      <calculatedColumnFormula>ScoutingData[[#This Row],[autoHigh]]+ScoutingData[[#This Row],[teleopHigh]]</calculatedColumnFormula>
    </tableColumn>
    <tableColumn id="17" xr3:uid="{F232AEC2-40C0-4260-985A-956F42CC7F84}" name="totalMed" dataDxfId="72">
      <calculatedColumnFormula>ScoutingData[[#This Row],[autoMed]]+ScoutingData[[#This Row],[teleopMed]]</calculatedColumnFormula>
    </tableColumn>
    <tableColumn id="6" xr3:uid="{23A5F46F-316A-4172-A947-A9154C209B6C}" name="totalLow" dataDxfId="71">
      <calculatedColumnFormula>ScoutingData[[#This Row],[autoLow]]+ScoutingData[[#This Row],[teleopLow]]</calculatedColumnFormula>
    </tableColumn>
    <tableColumn id="20" xr3:uid="{1885AD07-BDCA-49F6-B8D1-CC949CB1483B}" name="starting position" dataDxfId="70">
      <calculatedColumnFormula>IF(ScoutingData[[#This Row],[autoStartingLocation]]&lt;=36,"smooth",IF(ScoutingData[[#This Row],[autoStartingLocation]]&gt;=61,"bump","middle"))</calculatedColumnFormula>
    </tableColumn>
    <tableColumn id="21" xr3:uid="{988584B7-346A-40B3-BA36-62175CC1110A}" name="auto climb" dataDxfId="69">
      <calculatedColumnFormula>IF(ScoutingData[[#This Row],[autoDocked]] = "x", "no attempt", IF(ScoutingData[[#This Row],[autoDocked]] = "d", "docked", IF(ScoutingData[[#This Row],[autoDocked]] = "c", "charged","failed")))</calculatedColumnFormula>
    </tableColumn>
    <tableColumn id="24" xr3:uid="{42FAA891-CF1D-4B30-B44B-1DF5B38F05AE}" name="auto line cross" dataDxfId="68">
      <calculatedColumnFormula>IF(ScoutingData[[#This Row],[autoMobility]] = 1, "yes", "no")</calculatedColumnFormula>
    </tableColumn>
    <tableColumn id="25" xr3:uid="{79D13D00-CEB7-4A43-8DFF-1BC2C271C996}" name="auto class" dataDxfId="67">
      <calculatedColumnFormula>IF(ScoutingData[[#This Row],[starting position]] = "smooth", 1, IF(ScoutingData[[#This Row],[starting position]] = "middle", 2, 3)) + IF(ScoutingData[[#This Row],[auto climb]] = "no attempt", 0, 3)</calculatedColumnFormula>
    </tableColumn>
    <tableColumn id="26" xr3:uid="{85040567-1861-4F51-B400-6C66C8229C4B}" name="total auto pts" dataDxfId="66">
      <calculatedColumnFormula>IF(ScoutingData[[#This Row],[autoDocked]] = "d", 8, IF(ScoutingData[[#This Row],[autoDocked]] = "c", 12,0)) + 6*ScoutingData[[#This Row],[autoHigh]] + 4*ScoutingData[[#This Row],[autoMed]] + 3*ScoutingData[[#This Row],[autoLow]] + IF(ScoutingData[[#This Row],[auto line cross]]="yes", 3,0)</calculatedColumnFormula>
    </tableColumn>
    <tableColumn id="29" xr3:uid="{4D17F096-05FF-4EEC-8D62-0FC5411BAAD4}" name="total teleop pts" dataDxfId="65">
      <calculatedColumnFormula>5*ScoutingData[[#This Row],[teleopHigh]]+3*ScoutingData[[#This Row],[teleopMed]]+2*ScoutingData[[#This Row],[teleopLow]]</calculatedColumnFormula>
    </tableColumn>
    <tableColumn id="30" xr3:uid="{D579FAD4-D8B0-42BC-9BAE-E91FB42F65B9}" name="end climb attempt" dataDxfId="64">
      <calculatedColumnFormula>IF(ScoutingData[[#This Row],[finalState]] = "x", "no", IF(ScoutingData[[#This Row],[finalState]] = "p", "no", "yes"))</calculatedColumnFormula>
    </tableColumn>
    <tableColumn id="31" xr3:uid="{5DD4552F-E604-47DD-9DE6-5A8993EC0784}" name="end state" dataDxfId="63">
      <calculatedColumnFormula>IF(ScoutingData[[#This Row],[finalState]] = "x", "no attempt", IF(ScoutingData[[#This Row],[finalState]] = "p", "parked", IF(ScoutingData[[#This Row],[finalState]] = "d", "docked", IF(ScoutingData[[#This Row],[finalState]] = "c", "charged", "failed"))))</calculatedColumnFormula>
    </tableColumn>
    <tableColumn id="35" xr3:uid="{9EDA0957-B032-4231-BA35-7D55EF5C5125}" name="end pts" dataDxfId="62">
      <calculatedColumnFormula>IF(ScoutingData[[#This Row],[finalState]] = "x", 0, IF(ScoutingData[[#This Row],[finalState]] = "p", 2, IF(ScoutingData[[#This Row],[finalState]] = "d", 6, IF(ScoutingData[[#This Row],[finalState]] = "c", 10, 0))))</calculatedColumnFormula>
    </tableColumn>
    <tableColumn id="37" xr3:uid="{D53C3D3E-64DA-453A-9CCC-25F5B97B2C85}" name="total attr pts" dataDxfId="61">
      <calculatedColumnFormula>ScoutingData[[#This Row],[total auto pts]]+ScoutingData[[#This Row],[total teleop pts]]+ScoutingData[[#This Row],[end pts]]</calculatedColumnFormula>
    </tableColumn>
    <tableColumn id="38" xr3:uid="{09B5FE2C-0B60-40B6-93F7-3AF2C17294D3}" name="Auto High Cube" dataDxfId="60">
      <calculatedColumnFormula>getHighCubeCount(ScoutingData[[#This Row],[autoScoredGrid]])</calculatedColumnFormula>
    </tableColumn>
    <tableColumn id="39" xr3:uid="{3D485870-9FDB-4ABD-902B-A6FF39A95A54}" name="Auto High Cone" dataDxfId="59">
      <calculatedColumnFormula>getHighConeCount(ScoutingData[[#This Row],[autoScoredGrid]])</calculatedColumnFormula>
    </tableColumn>
    <tableColumn id="44" xr3:uid="{CD7DD1BC-F9FE-4CED-83B3-3160194D2548}" name="Auto Mid Cube" dataDxfId="58">
      <calculatedColumnFormula>getMidCubeCount(ScoutingData[[#This Row],[autoScoredGrid]])</calculatedColumnFormula>
    </tableColumn>
    <tableColumn id="45" xr3:uid="{CB57386B-3BED-4C94-9D7E-028F37D02442}" name="Auto Mid Cone" dataDxfId="57">
      <calculatedColumnFormula>getMidConeCount(ScoutingData[[#This Row],[autoScoredGrid]])</calculatedColumnFormula>
    </tableColumn>
    <tableColumn id="48" xr3:uid="{6A444191-911B-485F-83B2-470D5862CE64}" name="Teleop High Cube" dataDxfId="56">
      <calculatedColumnFormula>getHighCubeCount(ScoutingData[[#This Row],[scoredGrid]])</calculatedColumnFormula>
    </tableColumn>
    <tableColumn id="57" xr3:uid="{9C43C0B1-6249-4764-BDD0-C4BDA1E348B9}" name="Teleop High Cone" dataDxfId="55">
      <calculatedColumnFormula>getHighConeCount(ScoutingData[[#This Row],[scoredGrid]])</calculatedColumnFormula>
    </tableColumn>
    <tableColumn id="58" xr3:uid="{2BD0EC75-20C6-4A2A-9F13-B860C4B5A54F}" name="Teleop Mid Cube" dataDxfId="54">
      <calculatedColumnFormula>getMidCubeCount(ScoutingData[[#This Row],[scoredGrid]])</calculatedColumnFormula>
    </tableColumn>
    <tableColumn id="61" xr3:uid="{E946D320-18F9-4BB8-B728-47E2D1509C9E}" name="Teleop Mid Cone" dataDxfId="53">
      <calculatedColumnFormula>getMidConeCount(ScoutingData[[#This Row],[scoredGrid]])</calculatedColumnFormula>
    </tableColumn>
    <tableColumn id="22" xr3:uid="{5FA962F9-228C-4C53-AA36-0A066DB88368}" name="Total High Cones" dataDxfId="44">
      <calculatedColumnFormula>ScoutingData[[#This Row],[Auto High Cube]]+ScoutingData[[#This Row],[Teleop High Cube]]</calculatedColumnFormula>
    </tableColumn>
    <tableColumn id="28" xr3:uid="{6133CA9E-F8AE-4939-A0AA-24A10548FBF5}" name="Total High Cubes" dataDxfId="43">
      <calculatedColumnFormula>ScoutingData[[#This Row],[Auto High Cone]]+ScoutingData[[#This Row],[Teleop High Cone]]</calculatedColumnFormula>
    </tableColumn>
    <tableColumn id="62" xr3:uid="{C900A309-E231-4E85-807B-9650EAF3AF6B}" name="Total Mid Cones" dataDxfId="42">
      <calculatedColumnFormula>ScoutingData[[#This Row],[Auto Mid Cube]]+ScoutingData[[#This Row],[Teleop Mid Cube]]</calculatedColumnFormula>
    </tableColumn>
    <tableColumn id="64" xr3:uid="{C53B4895-7F62-4C1C-8505-76E6CE8CF4A5}" name="Total Mid Cubes" dataDxfId="41">
      <calculatedColumnFormula>ScoutingData[[#This Row],[Auto Mid Cone]]+ScoutingData[[#This Row],[Teleop Mid Cone]]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78F3DA-4B43-4D55-A9C4-9BD8044CAA72}" name="ScoutingData_2" displayName="ScoutingData_2" ref="A3:AJ5" tableType="queryTable" totalsRowShown="0" headerRowDxfId="52" dataDxfId="51">
  <autoFilter ref="A3:AJ5" xr:uid="{4278F3DA-4B43-4D55-A9C4-9BD8044CAA72}">
    <filterColumn colId="35">
      <filters>
        <filter val="1"/>
      </filters>
    </filterColumn>
  </autoFilter>
  <sortState xmlns:xlrd2="http://schemas.microsoft.com/office/spreadsheetml/2017/richdata2" ref="A4:AJ5">
    <sortCondition ref="B3:B5"/>
  </sortState>
  <tableColumns count="36">
    <tableColumn id="36" xr3:uid="{4DC3C437-3753-4409-9E36-F5507BB7EF86}" uniqueName="36" name="Match Level" queryTableFieldId="64" dataDxfId="35"/>
    <tableColumn id="37" xr3:uid="{2472FFAD-693C-4FC6-AE60-8495FB875F43}" uniqueName="37" name="Match #" queryTableFieldId="65" dataDxfId="34"/>
    <tableColumn id="38" xr3:uid="{C6386F16-DDA6-4102-8549-BC448C22BF45}" uniqueName="38" name="Team #" queryTableFieldId="66" dataDxfId="33"/>
    <tableColumn id="39" xr3:uid="{F5CD890B-D3C9-4AD6-9F2B-D714B8B4A1C6}" uniqueName="39" name="Robot #" queryTableFieldId="67" dataDxfId="32"/>
    <tableColumn id="1" xr3:uid="{212AF964-6BC4-4E59-AD9B-2FE9427A076B}" uniqueName="1" name="Scouter" queryTableFieldId="1" dataDxfId="31"/>
    <tableColumn id="40" xr3:uid="{C7B3A5AE-6191-4962-9916-AA2EB7EF967C}" uniqueName="40" name="Total Pts Attr" queryTableFieldId="68" dataDxfId="30"/>
    <tableColumn id="41" xr3:uid="{18216932-8024-4090-9A0B-2A7F33D68097}" uniqueName="41" name="Starting Pos" queryTableFieldId="69" dataDxfId="29"/>
    <tableColumn id="43" xr3:uid="{880D7640-C1A0-4B09-8EAF-C61A79D0AAED}" uniqueName="43" name="Auto Total Pieces" queryTableFieldId="71" dataDxfId="28"/>
    <tableColumn id="42" xr3:uid="{1A9882D1-D562-4992-AE5A-4394D770B217}" uniqueName="42" name="Auto Attempted Pieces" queryTableFieldId="70" dataDxfId="27"/>
    <tableColumn id="25" xr3:uid="{33E47EDA-8F32-4AEA-B00C-C40EC72C1F18}" uniqueName="25" name="Auto High Cube" queryTableFieldId="25" dataDxfId="26"/>
    <tableColumn id="26" xr3:uid="{0FD5A07B-0C45-4642-8B26-FF28C0F852A1}" uniqueName="26" name="Auto High Cone" queryTableFieldId="26" dataDxfId="25"/>
    <tableColumn id="27" xr3:uid="{B61539A1-88D5-43BB-A1FE-2F9A45919369}" uniqueName="27" name="Auto Mid Cube" queryTableFieldId="27" dataDxfId="24"/>
    <tableColumn id="28" xr3:uid="{39E94D55-B174-4977-AC3C-587DA41FAA19}" uniqueName="28" name="Auto Mid Cone" queryTableFieldId="28" dataDxfId="23"/>
    <tableColumn id="44" xr3:uid="{8FFCBF54-040D-4390-AC2A-F737A509D72A}" uniqueName="44" name="Auto Low Pieces" queryTableFieldId="72" dataDxfId="22"/>
    <tableColumn id="17" xr3:uid="{62EEDBA6-5B65-4D2F-90CB-9E057191DE2C}" uniqueName="17" name="Auto Climb" queryTableFieldId="17" dataDxfId="21"/>
    <tableColumn id="18" xr3:uid="{78F367DA-B930-4CD4-BD1F-72C6B97319B8}" uniqueName="18" name="Auto Line Cross" queryTableFieldId="18" dataDxfId="20"/>
    <tableColumn id="19" xr3:uid="{3A590E38-1411-4F92-842C-41008AF41BF6}" uniqueName="19" name="Total Auto Pts" queryTableFieldId="19" dataDxfId="19"/>
    <tableColumn id="45" xr3:uid="{D69CA688-C9C1-4CE6-982A-718BED795433}" uniqueName="45" name="Teleop Total Pieces" queryTableFieldId="73" dataDxfId="18"/>
    <tableColumn id="29" xr3:uid="{7C0B1C4D-85F9-4C4D-80C9-EA741D19FC35}" uniqueName="29" name="Teleop High Cube" queryTableFieldId="29" dataDxfId="17"/>
    <tableColumn id="30" xr3:uid="{C88271BC-9C77-4F85-A664-5E9E5A6A2DC8}" uniqueName="30" name="Teleop High Cone" queryTableFieldId="30" dataDxfId="16"/>
    <tableColumn id="31" xr3:uid="{A1466CE9-B53F-43D2-9C23-C5E961E2173A}" uniqueName="31" name="Teleop Mid Cube" queryTableFieldId="31" dataDxfId="15"/>
    <tableColumn id="32" xr3:uid="{82C00B39-9B88-430A-A0DA-5DBF071A16CD}" uniqueName="32" name="Teleop Mid Cone" queryTableFieldId="32" dataDxfId="14"/>
    <tableColumn id="46" xr3:uid="{B74CA995-8C4E-440D-852C-5E6A06AF1060}" uniqueName="46" name="Teleop Low Pieces" queryTableFieldId="74" dataDxfId="13"/>
    <tableColumn id="20" xr3:uid="{9358F80B-D659-4F56-9263-1D03960DFA4B}" uniqueName="20" name="Total Teleop Pts" queryTableFieldId="20" dataDxfId="12"/>
    <tableColumn id="47" xr3:uid="{38FB5E0A-D432-4D62-A4E5-2E6D9BF0E492}" uniqueName="47" name="Total Game Pieces" queryTableFieldId="75" dataDxfId="11"/>
    <tableColumn id="48" xr3:uid="{AE650A69-93F6-4BC7-B8BB-61FFDC65FE5B}" uniqueName="48" name="Total Cubes" queryTableFieldId="76" dataDxfId="10"/>
    <tableColumn id="49" xr3:uid="{5C2FAEFF-57FD-4005-BDE3-B35A6D4DA226}" uniqueName="49" name="Total Cones" queryTableFieldId="77" dataDxfId="9"/>
    <tableColumn id="50" xr3:uid="{92B72935-D33F-45E4-9935-A2DBA345D7A7}" uniqueName="50" name="Attempted End Climb" queryTableFieldId="78" dataDxfId="8"/>
    <tableColumn id="22" xr3:uid="{2B9EC2D3-ABB5-424B-B0BE-8BD290868DEA}" uniqueName="22" name="End State" queryTableFieldId="22" dataDxfId="7"/>
    <tableColumn id="51" xr3:uid="{CAF9B022-B9CC-4E1E-B05B-2E004D059EF7}" uniqueName="51" name="# Robots on Station" queryTableFieldId="79" dataDxfId="6"/>
    <tableColumn id="52" xr3:uid="{53A69987-716D-4509-AA99-617C5C6A04AA}" uniqueName="52" name="Engame Pts" queryTableFieldId="80" dataDxfId="5"/>
    <tableColumn id="53" xr3:uid="{E4FDFC8B-5286-4539-88AA-A75581B1B915}" uniqueName="53" name="Died or Tipped Over" queryTableFieldId="81" dataDxfId="4"/>
    <tableColumn id="54" xr3:uid="{1A3A8033-BC0F-41FC-BC3E-74D13701FDF4}" uniqueName="54" name="Almost Tipped Over" queryTableFieldId="82" dataDxfId="3"/>
    <tableColumn id="55" xr3:uid="{3D1A8004-1916-4F6C-8204-3AD7AE789DB3}" uniqueName="55" name="Dropping Pieces" queryTableFieldId="83" dataDxfId="2"/>
    <tableColumn id="10" xr3:uid="{FFB50795-B881-4AC7-8531-15347E5189BB}" uniqueName="10" name="Comments" queryTableFieldId="10" dataDxfId="1"/>
    <tableColumn id="56" xr3:uid="{6D1979E9-A3AF-40E8-BD92-422F642CD960}" uniqueName="56" name="Filtered" queryTableFieldId="104" dataDxfId="0">
      <calculatedColumnFormula>IF(AND(OR($B$1 = ScoutingData_2[[#This Row],[Team '#]],$B$1 = ""),ScoutingData_2[[#This Row],[Match '#]]&gt;=$B$2,ScoutingData_2[[#This Row],[Match '#]]&lt;=$C$2),1,0)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80D975-4DEC-486B-BC41-69FBA48A0E88}" name="Table4" displayName="Table4" ref="A4:U7" totalsRowShown="0" headerRowDxfId="50" headerRowBorderDxfId="49" tableBorderDxfId="48" totalsRowBorderDxfId="47">
  <autoFilter ref="A4:U7" xr:uid="{4D80D975-4DEC-486B-BC41-69FBA48A0E88}"/>
  <tableColumns count="21">
    <tableColumn id="1" xr3:uid="{82166005-8C73-4F00-B243-E0D876EB8E54}" name="Team #" dataDxfId="46"/>
    <tableColumn id="2" xr3:uid="{D73994B8-49EE-4B64-A1AC-684E70DEE7DE}" name="Team Name" dataDxfId="45"/>
    <tableColumn id="3" xr3:uid="{FE156390-0D0A-4768-823B-C0EB2AC27F1B}" name="# Matches" dataDxfId="40">
      <calculatedColumnFormula>COUNTIFS('Match Scouting Data'!G:G,Table4[[#This Row],[Team '#]],'Match Scouting Data'!D:D,"&gt;="&amp;'Team Data'!$B$1,'Match Scouting Data'!D:D,"&lt;="&amp;'Team Data'!$C$1)</calculatedColumnFormula>
    </tableColumn>
    <tableColumn id="4" xr3:uid="{18935103-C304-438B-8CF0-659C13AA96AA}" name="Contributed Pts" dataDxfId="39">
      <calculatedColumnFormula>IFERROR(IF($B$2,_xlfn.MAXIFS('Match Scouting Data'!BM:BM,'Match Scouting Data'!G:G,Table4[[#This Row],[Team '#]],'Match Scouting Data'!D:D,"&gt;="&amp;'Team Data'!$B$1,'Match Scouting Data'!D:D,"&lt;="&amp;'Team Data'!$C$1),AVERAGEIFS('Match Scouting Data'!BM:BM,'Match Scouting Data'!G:G,Table4[[#This Row],[Team '#]],'Match Scouting Data'!D:D,"&gt;="&amp;'Team Data'!$B$1,'Match Scouting Data'!D:D,"&lt;="&amp;'Team Data'!$C$1)),"")</calculatedColumnFormula>
    </tableColumn>
    <tableColumn id="30" xr3:uid="{11AFB835-72B8-4FA6-AEC3-2A8438A2F2C0}" name="Selected Auto + Teleop + Endgame"/>
    <tableColumn id="29" xr3:uid="{73374E0B-780A-47C5-B5C8-2D8F88C884CD}" name="Selected Auto"/>
    <tableColumn id="13" xr3:uid="{23BC5C3C-39F1-45E5-82AC-C6CD8C4E1080}" name="Auto Pts" dataDxfId="38">
      <calculatedColumnFormula>IFERROR(IF($B$2,_xlfn.MAXIFS('Match Scouting Data'!BH:BH,'Match Scouting Data'!G:G,Table4[[#This Row],[Team '#]],'Match Scouting Data'!D:D,"&gt;="&amp;'Team Data'!$B$1,'Match Scouting Data'!D:D,"&lt;="&amp;'Team Data'!$C$1),AVERAGEIFS('Match Scouting Data'!BH:BH,'Match Scouting Data'!G:G,Table4[[#This Row],[Team '#]],'Match Scouting Data'!D:D,"&gt;="&amp;'Team Data'!$B$1,'Match Scouting Data'!D:D,"&lt;="&amp;'Team Data'!$C$1)),"")</calculatedColumnFormula>
    </tableColumn>
    <tableColumn id="22" xr3:uid="{F9523C22-98A6-41BD-BE98-535C9E9174E8}" name="Auto Pts Smooth No Climb"/>
    <tableColumn id="23" xr3:uid="{52A1811B-4660-4D75-82BB-AF17CD6173FD}" name="Auto Pts Middle No Climb"/>
    <tableColumn id="24" xr3:uid="{28E91AF7-F07D-4D17-BB06-320B8B9E866D}" name="Auto Pts Bump No Climb"/>
    <tableColumn id="25" xr3:uid="{6D6C325C-979A-4290-852A-5E47B7195B20}" name="Auto Pts Smooth with Climb"/>
    <tableColumn id="26" xr3:uid="{EA6D0791-51A0-426F-A615-0F1AC5082F06}" name="Auto Pts Middle with Climb"/>
    <tableColumn id="27" xr3:uid="{18392068-E72E-4129-85E2-FFE543AD59A7}" name="Auto Pts Bump with Climb"/>
    <tableColumn id="5" xr3:uid="{8DB99061-F0E4-4857-9DFF-9653512A97B9}" name="Teleop Pts"/>
    <tableColumn id="10" xr3:uid="{00910618-B759-49C9-B001-D4A5EB8B343C}" name="Endgame Pts Per Attempt"/>
    <tableColumn id="21" xr3:uid="{4B0B8722-A978-4C7C-BAE4-B17A20FCF439}" name="Total Pieces"/>
    <tableColumn id="17" xr3:uid="{3BA48156-10D3-4526-9698-61083182FCD1}" name="Total Upper Cones"/>
    <tableColumn id="6" xr3:uid="{3D1B084A-3991-4C40-B5D0-8C25E96FE959}" name="Total Upper Cubes"/>
    <tableColumn id="18" xr3:uid="{2269C750-58EA-40C1-B0C6-D9D887F28E8D}" name="Total Mid Cones"/>
    <tableColumn id="19" xr3:uid="{A0D80AEF-4BD7-47A0-AB20-45F6C8F8F987}" name="Total Mid Cubes"/>
    <tableColumn id="20" xr3:uid="{3C8BDE4C-6054-484F-81D2-BDA642914283}" name="Total Lower Pieces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H11" sqref="H11"/>
    </sheetView>
  </sheetViews>
  <sheetFormatPr defaultColWidth="9.21875" defaultRowHeight="18" customHeight="1" x14ac:dyDescent="0.3"/>
  <cols>
    <col min="1" max="1" width="11.33203125" style="1" customWidth="1"/>
    <col min="2" max="2" width="14.109375" style="1" customWidth="1"/>
    <col min="3" max="4" width="13.77734375" style="1" customWidth="1"/>
    <col min="5" max="5" width="9.21875" style="1"/>
    <col min="6" max="6" width="11.21875" style="1" customWidth="1"/>
    <col min="7" max="7" width="9.21875" style="1"/>
    <col min="8" max="8" width="22.6640625" style="1" customWidth="1"/>
    <col min="9" max="9" width="9.21875" style="1"/>
    <col min="10" max="11" width="9.21875" style="1" customWidth="1"/>
    <col min="12" max="16384" width="9.21875" style="1"/>
  </cols>
  <sheetData>
    <row r="1" spans="1:21" ht="18" customHeight="1" x14ac:dyDescent="0.3">
      <c r="A1" s="31" t="s">
        <v>84</v>
      </c>
      <c r="B1" s="31"/>
      <c r="C1" s="31"/>
      <c r="D1" s="31"/>
      <c r="E1" s="31"/>
      <c r="F1" s="31"/>
      <c r="G1" s="31"/>
      <c r="H1" s="31"/>
    </row>
    <row r="2" spans="1:21" ht="18" customHeight="1" x14ac:dyDescent="0.3">
      <c r="A2" s="31"/>
      <c r="B2" s="31"/>
      <c r="C2" s="31"/>
      <c r="D2" s="31"/>
      <c r="E2" s="31"/>
      <c r="F2" s="31"/>
      <c r="G2" s="31"/>
      <c r="H2" s="31"/>
    </row>
    <row r="3" spans="1:21" ht="33" customHeight="1" x14ac:dyDescent="0.3">
      <c r="A3" s="31"/>
      <c r="B3" s="31"/>
      <c r="C3" s="31"/>
      <c r="D3" s="31"/>
      <c r="E3" s="31"/>
      <c r="F3" s="31"/>
      <c r="G3" s="31"/>
      <c r="H3" s="31"/>
      <c r="N3" s="6"/>
    </row>
    <row r="5" spans="1:21" ht="18" customHeight="1" x14ac:dyDescent="0.3">
      <c r="F5" s="3"/>
      <c r="G5" s="3"/>
    </row>
    <row r="6" spans="1:21" ht="18" customHeight="1" x14ac:dyDescent="0.3">
      <c r="F6" s="4"/>
      <c r="G6"/>
    </row>
    <row r="7" spans="1:21" ht="18" customHeight="1" x14ac:dyDescent="0.3">
      <c r="M7" s="1" t="s">
        <v>17</v>
      </c>
    </row>
    <row r="13" spans="1:21" ht="18" customHeight="1" x14ac:dyDescent="0.3">
      <c r="S13" s="2"/>
    </row>
    <row r="16" spans="1:21" ht="18" customHeight="1" x14ac:dyDescent="0.3">
      <c r="U16" s="6"/>
    </row>
    <row r="75" spans="12:12" ht="18" customHeight="1" x14ac:dyDescent="0.3">
      <c r="L75" s="1" t="s">
        <v>19</v>
      </c>
    </row>
  </sheetData>
  <mergeCells count="1">
    <mergeCell ref="A1:H3"/>
  </mergeCell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N2"/>
  <sheetViews>
    <sheetView workbookViewId="0">
      <selection activeCell="A2" sqref="A2"/>
    </sheetView>
  </sheetViews>
  <sheetFormatPr defaultRowHeight="14.4" x14ac:dyDescent="0.3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  <col min="13" max="13" width="17.21875" bestFit="1" customWidth="1"/>
    <col min="14" max="14" width="12.109375" bestFit="1" customWidth="1"/>
  </cols>
  <sheetData>
    <row r="1" spans="1:14" x14ac:dyDescent="0.3">
      <c r="A1" t="s">
        <v>4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69</v>
      </c>
      <c r="I1" t="s">
        <v>63</v>
      </c>
      <c r="J1" t="s">
        <v>64</v>
      </c>
      <c r="K1" t="s">
        <v>68</v>
      </c>
      <c r="L1" t="s">
        <v>65</v>
      </c>
      <c r="M1" t="s">
        <v>70</v>
      </c>
      <c r="N1" t="s">
        <v>12</v>
      </c>
    </row>
    <row r="2" spans="1:14" x14ac:dyDescent="0.3">
      <c r="A2">
        <v>2451</v>
      </c>
      <c r="B2">
        <v>26</v>
      </c>
      <c r="C2">
        <v>125</v>
      </c>
      <c r="D2" t="s">
        <v>71</v>
      </c>
      <c r="F2">
        <v>1</v>
      </c>
      <c r="G2" t="s">
        <v>66</v>
      </c>
      <c r="H2">
        <v>12</v>
      </c>
      <c r="I2" t="s">
        <v>72</v>
      </c>
      <c r="J2" t="s">
        <v>67</v>
      </c>
      <c r="K2" t="s">
        <v>67</v>
      </c>
      <c r="L2" t="s">
        <v>73</v>
      </c>
      <c r="M2" t="s">
        <v>74</v>
      </c>
      <c r="N2" t="s">
        <v>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Y3"/>
  <sheetViews>
    <sheetView topLeftCell="BB1" zoomScaleNormal="100" workbookViewId="0">
      <selection activeCell="BT10" sqref="BT10"/>
    </sheetView>
  </sheetViews>
  <sheetFormatPr defaultColWidth="14.44140625" defaultRowHeight="14.4" x14ac:dyDescent="0.3"/>
  <cols>
    <col min="1" max="1" width="14.21875" customWidth="1"/>
    <col min="2" max="4" width="14.44140625" customWidth="1"/>
    <col min="5" max="5" width="16.33203125" bestFit="1" customWidth="1"/>
    <col min="9" max="9" width="11.77734375" customWidth="1"/>
    <col min="10" max="10" width="16.33203125" bestFit="1" customWidth="1"/>
    <col min="13" max="13" width="16.33203125" customWidth="1"/>
    <col min="14" max="14" width="11" customWidth="1"/>
    <col min="15" max="15" width="14.5546875" customWidth="1"/>
    <col min="16" max="16" width="16.44140625" customWidth="1"/>
    <col min="17" max="17" width="14.6640625" customWidth="1"/>
    <col min="18" max="18" width="16.5546875" customWidth="1"/>
    <col min="19" max="19" width="12" customWidth="1"/>
    <col min="20" max="20" width="13.44140625" customWidth="1"/>
    <col min="22" max="23" width="16.44140625" customWidth="1"/>
    <col min="24" max="26" width="18.5546875" customWidth="1"/>
    <col min="27" max="28" width="14.44140625" customWidth="1"/>
    <col min="29" max="29" width="12.5546875" customWidth="1"/>
    <col min="30" max="31" width="15.33203125" customWidth="1"/>
    <col min="33" max="34" width="13.44140625" customWidth="1"/>
    <col min="39" max="40" width="12.109375" customWidth="1"/>
    <col min="45" max="3763" width="14.44140625" customWidth="1"/>
  </cols>
  <sheetData>
    <row r="1" spans="1:77" ht="15" customHeight="1" x14ac:dyDescent="0.3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24</v>
      </c>
      <c r="J1" t="s">
        <v>76</v>
      </c>
      <c r="K1" t="s">
        <v>20</v>
      </c>
      <c r="L1" t="s">
        <v>21</v>
      </c>
      <c r="M1" t="s">
        <v>22</v>
      </c>
      <c r="N1" t="s">
        <v>23</v>
      </c>
      <c r="O1" t="s">
        <v>25</v>
      </c>
      <c r="P1" t="s">
        <v>26</v>
      </c>
      <c r="Q1" t="s">
        <v>28</v>
      </c>
      <c r="R1" t="s">
        <v>27</v>
      </c>
      <c r="S1" t="s">
        <v>11</v>
      </c>
      <c r="T1" t="s">
        <v>29</v>
      </c>
      <c r="U1" t="s">
        <v>30</v>
      </c>
      <c r="V1" t="s">
        <v>31</v>
      </c>
      <c r="W1" t="s">
        <v>77</v>
      </c>
      <c r="X1" t="s">
        <v>32</v>
      </c>
      <c r="Y1" t="s">
        <v>33</v>
      </c>
      <c r="Z1" t="s">
        <v>34</v>
      </c>
      <c r="AA1" t="s">
        <v>10</v>
      </c>
      <c r="AB1" t="s">
        <v>35</v>
      </c>
      <c r="AC1" t="s">
        <v>9</v>
      </c>
      <c r="AD1" t="s">
        <v>15</v>
      </c>
      <c r="AE1" t="s">
        <v>16</v>
      </c>
      <c r="AF1" t="s">
        <v>13</v>
      </c>
      <c r="AG1" t="s">
        <v>36</v>
      </c>
      <c r="AH1" t="s">
        <v>37</v>
      </c>
      <c r="AI1" t="s">
        <v>14</v>
      </c>
      <c r="AJ1" t="s">
        <v>12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56</v>
      </c>
      <c r="BD1" s="8" t="s">
        <v>85</v>
      </c>
      <c r="BE1" s="8" t="s">
        <v>86</v>
      </c>
      <c r="BF1" s="8" t="s">
        <v>87</v>
      </c>
      <c r="BG1" s="8" t="s">
        <v>89</v>
      </c>
      <c r="BH1" s="8" t="s">
        <v>88</v>
      </c>
      <c r="BI1" s="8" t="s">
        <v>90</v>
      </c>
      <c r="BJ1" s="8" t="s">
        <v>91</v>
      </c>
      <c r="BK1" s="8" t="s">
        <v>92</v>
      </c>
      <c r="BL1" s="8" t="s">
        <v>93</v>
      </c>
      <c r="BM1" s="8" t="s">
        <v>94</v>
      </c>
      <c r="BN1" s="8" t="s">
        <v>124</v>
      </c>
      <c r="BO1" s="8" t="s">
        <v>126</v>
      </c>
      <c r="BP1" s="8" t="s">
        <v>127</v>
      </c>
      <c r="BQ1" s="8" t="s">
        <v>128</v>
      </c>
      <c r="BR1" s="8" t="s">
        <v>129</v>
      </c>
      <c r="BS1" s="8" t="s">
        <v>130</v>
      </c>
      <c r="BT1" s="8" t="s">
        <v>131</v>
      </c>
      <c r="BU1" s="8" t="s">
        <v>132</v>
      </c>
      <c r="BV1" s="8" t="s">
        <v>168</v>
      </c>
      <c r="BW1" s="8" t="s">
        <v>169</v>
      </c>
      <c r="BX1" s="8" t="s">
        <v>111</v>
      </c>
      <c r="BY1" s="8" t="s">
        <v>112</v>
      </c>
    </row>
    <row r="2" spans="1:77" x14ac:dyDescent="0.3">
      <c r="A2" s="8" t="s">
        <v>79</v>
      </c>
      <c r="B2" s="8" t="s">
        <v>80</v>
      </c>
      <c r="C2" s="8" t="s">
        <v>0</v>
      </c>
      <c r="D2" s="8">
        <v>21</v>
      </c>
      <c r="E2" s="9" t="str">
        <f>ScoutingData[[#This Row],[eventCode]]&amp;"_"&amp;ScoutingData[[#This Row],[matchLevel]]&amp;ScoutingData[[#This Row],[matchNumber]]</f>
        <v>2023curie_qm21</v>
      </c>
      <c r="F2" s="8" t="s">
        <v>81</v>
      </c>
      <c r="G2" s="8">
        <v>7021</v>
      </c>
      <c r="H2" s="8">
        <v>14</v>
      </c>
      <c r="I2" s="9" t="s">
        <v>125</v>
      </c>
      <c r="J2">
        <v>3</v>
      </c>
      <c r="K2" s="8"/>
      <c r="L2" s="8"/>
      <c r="M2" s="8">
        <v>1</v>
      </c>
      <c r="N2" s="8" t="s">
        <v>18</v>
      </c>
      <c r="O2" s="8"/>
      <c r="P2" s="8" t="s">
        <v>82</v>
      </c>
      <c r="Q2" s="8"/>
      <c r="R2" s="9"/>
      <c r="S2" s="9"/>
      <c r="T2" s="9"/>
      <c r="U2" s="9"/>
      <c r="V2" s="9" t="s">
        <v>78</v>
      </c>
      <c r="W2">
        <v>2</v>
      </c>
      <c r="X2" s="9"/>
      <c r="Y2" t="s">
        <v>83</v>
      </c>
      <c r="Z2">
        <v>2</v>
      </c>
      <c r="AA2" s="9"/>
      <c r="AC2" s="9"/>
      <c r="AD2" s="9"/>
      <c r="AE2" s="9"/>
      <c r="AF2" s="9">
        <v>1</v>
      </c>
      <c r="AG2" s="9">
        <v>1</v>
      </c>
      <c r="AH2">
        <v>1</v>
      </c>
      <c r="AI2" s="9"/>
      <c r="AJ2" s="9"/>
      <c r="AK2" s="9">
        <f>getTotalCount(ScoutingData[[#This Row],[autoScoredGrid]])</f>
        <v>4</v>
      </c>
      <c r="AL2" s="9">
        <f>getCubeCount(ScoutingData[[#This Row],[autoScoredGrid]])</f>
        <v>2</v>
      </c>
      <c r="AM2" s="9">
        <f>getConeCount(ScoutingData[[#This Row],[autoScoredGrid]])</f>
        <v>2</v>
      </c>
      <c r="AN2" s="9">
        <f>getHighCount(ScoutingData[[#This Row],[autoScoredGrid]])</f>
        <v>3</v>
      </c>
      <c r="AO2" s="9">
        <f>getMedCount(ScoutingData[[#This Row],[autoScoredGrid]])</f>
        <v>0</v>
      </c>
      <c r="AP2" s="9">
        <f>getLowCount(ScoutingData[[#This Row],[autoScoredGrid]])</f>
        <v>1</v>
      </c>
      <c r="AQ2" s="9" t="e">
        <f>getAvgCycleTime(ScoutingData[[#This Row],[cycleTimes]])</f>
        <v>#VALUE!</v>
      </c>
      <c r="AR2" s="9">
        <f>getTotalCount(ScoutingData[[#This Row],[scoredGrid]])</f>
        <v>6</v>
      </c>
      <c r="AS2" s="9">
        <f>getCubeCount(ScoutingData[[#This Row],[scoredGrid]])</f>
        <v>2</v>
      </c>
      <c r="AT2" s="9">
        <f>getConeCount(ScoutingData[[#This Row],[scoredGrid]])</f>
        <v>4</v>
      </c>
      <c r="AU2" s="9">
        <f>getHighCount(ScoutingData[[#This Row],[scoredGrid]])</f>
        <v>2</v>
      </c>
      <c r="AV2" s="9">
        <f>getMedCount(ScoutingData[[#This Row],[scoredGrid]])</f>
        <v>4</v>
      </c>
      <c r="AW2" s="9">
        <f>getLowCount(ScoutingData[[#This Row],[scoredGrid]])</f>
        <v>0</v>
      </c>
      <c r="AX2" s="9">
        <f>ScoutingData[[#This Row],[autoGamePieces]]+ScoutingData[[#This Row],[teleopGamePieces]]</f>
        <v>10</v>
      </c>
      <c r="AY2" s="9">
        <f>ScoutingData[[#This Row],[autoCubes]]+ScoutingData[[#This Row],[teleopCubes]]</f>
        <v>4</v>
      </c>
      <c r="AZ2" s="9">
        <f>ScoutingData[[#This Row],[autoCones]]+ScoutingData[[#This Row],[teleopCones]]</f>
        <v>6</v>
      </c>
      <c r="BA2" s="9">
        <f>ScoutingData[[#This Row],[autoHigh]]+ScoutingData[[#This Row],[teleopHigh]]</f>
        <v>5</v>
      </c>
      <c r="BB2" s="9">
        <f>ScoutingData[[#This Row],[autoMed]]+ScoutingData[[#This Row],[teleopMed]]</f>
        <v>4</v>
      </c>
      <c r="BC2" s="9">
        <f>ScoutingData[[#This Row],[autoLow]]+ScoutingData[[#This Row],[teleopLow]]</f>
        <v>1</v>
      </c>
      <c r="BD2" s="9" t="str">
        <f>IF(ScoutingData[[#This Row],[autoStartingLocation]]&lt;=36,"smooth",IF(ScoutingData[[#This Row],[autoStartingLocation]]&gt;=61,"bump","middle"))</f>
        <v>smooth</v>
      </c>
      <c r="BE2" s="9" t="str">
        <f>IF(ScoutingData[[#This Row],[autoDocked]] = "x", "no attempt", IF(ScoutingData[[#This Row],[autoDocked]] = "d", "docked", IF(ScoutingData[[#This Row],[autoDocked]] = "c", "charged","failed")))</f>
        <v>no attempt</v>
      </c>
      <c r="BF2" s="9" t="str">
        <f>IF(ScoutingData[[#This Row],[autoMobility]] = 1, "yes", "no")</f>
        <v>yes</v>
      </c>
      <c r="BG2" s="9">
        <f>IF(ScoutingData[[#This Row],[starting position]] = "smooth", 1, IF(ScoutingData[[#This Row],[starting position]] = "middle", 2, 3)) + IF(ScoutingData[[#This Row],[auto climb]] = "no attempt", 0, 3)</f>
        <v>1</v>
      </c>
      <c r="BH2" s="9">
        <f>IF(ScoutingData[[#This Row],[autoDocked]] = "d", 8, IF(ScoutingData[[#This Row],[autoDocked]] = "c", 12,0)) + 6*ScoutingData[[#This Row],[autoHigh]] + 4*ScoutingData[[#This Row],[autoMed]] + 3*ScoutingData[[#This Row],[autoLow]] + IF(ScoutingData[[#This Row],[auto line cross]]="yes", 3,0)</f>
        <v>24</v>
      </c>
      <c r="BI2" s="9">
        <f>5*ScoutingData[[#This Row],[teleopHigh]]+3*ScoutingData[[#This Row],[teleopMed]]+2*ScoutingData[[#This Row],[teleopLow]]</f>
        <v>22</v>
      </c>
      <c r="BJ2" s="9" t="str">
        <f>IF(ScoutingData[[#This Row],[finalState]] = "x", "no", IF(ScoutingData[[#This Row],[finalState]] = "p", "no", "yes"))</f>
        <v>yes</v>
      </c>
      <c r="BK2" s="9" t="str">
        <f>IF(ScoutingData[[#This Row],[finalState]] = "x", "no attempt", IF(ScoutingData[[#This Row],[finalState]] = "p", "parked", IF(ScoutingData[[#This Row],[finalState]] = "d", "docked", IF(ScoutingData[[#This Row],[finalState]] = "c", "charged", "failed"))))</f>
        <v>docked</v>
      </c>
      <c r="BL2" s="9">
        <f>IF(ScoutingData[[#This Row],[finalState]] = "x", 0, IF(ScoutingData[[#This Row],[finalState]] = "p", 2, IF(ScoutingData[[#This Row],[finalState]] = "d", 6, IF(ScoutingData[[#This Row],[finalState]] = "c", 10, 0))))</f>
        <v>6</v>
      </c>
      <c r="BM2" s="9">
        <f>ScoutingData[[#This Row],[total auto pts]]+ScoutingData[[#This Row],[total teleop pts]]+ScoutingData[[#This Row],[end pts]]</f>
        <v>52</v>
      </c>
      <c r="BN2" s="9">
        <f>getHighCubeCount(ScoutingData[[#This Row],[autoScoredGrid]])</f>
        <v>2</v>
      </c>
      <c r="BO2" s="9">
        <f>getHighConeCount(ScoutingData[[#This Row],[autoScoredGrid]])</f>
        <v>1</v>
      </c>
      <c r="BP2" s="9">
        <f>getMidCubeCount(ScoutingData[[#This Row],[autoScoredGrid]])</f>
        <v>0</v>
      </c>
      <c r="BQ2" s="9">
        <f>getMidConeCount(ScoutingData[[#This Row],[autoScoredGrid]])</f>
        <v>0</v>
      </c>
      <c r="BR2" s="9">
        <f>getHighCubeCount(ScoutingData[[#This Row],[scoredGrid]])</f>
        <v>1</v>
      </c>
      <c r="BS2" s="9">
        <f>getHighConeCount(ScoutingData[[#This Row],[scoredGrid]])</f>
        <v>1</v>
      </c>
      <c r="BT2" s="9">
        <f>getMidCubeCount(ScoutingData[[#This Row],[scoredGrid]])</f>
        <v>1</v>
      </c>
      <c r="BU2" s="9">
        <f>getMidConeCount(ScoutingData[[#This Row],[scoredGrid]])</f>
        <v>3</v>
      </c>
      <c r="BV2" s="9">
        <f>ScoutingData[[#This Row],[Auto High Cube]]+ScoutingData[[#This Row],[Teleop High Cube]]</f>
        <v>3</v>
      </c>
      <c r="BW2" s="9">
        <f>ScoutingData[[#This Row],[Auto High Cone]]+ScoutingData[[#This Row],[Teleop High Cone]]</f>
        <v>2</v>
      </c>
      <c r="BX2" s="9">
        <f>ScoutingData[[#This Row],[Auto Mid Cube]]+ScoutingData[[#This Row],[Teleop Mid Cube]]</f>
        <v>1</v>
      </c>
      <c r="BY2" s="9">
        <f>ScoutingData[[#This Row],[Auto Mid Cone]]+ScoutingData[[#This Row],[Teleop Mid Cone]]</f>
        <v>3</v>
      </c>
    </row>
    <row r="3" spans="1:77" x14ac:dyDescent="0.3">
      <c r="A3" s="8" t="s">
        <v>159</v>
      </c>
      <c r="B3" s="8" t="s">
        <v>80</v>
      </c>
      <c r="C3" s="8" t="s">
        <v>0</v>
      </c>
      <c r="D3" s="8">
        <v>2</v>
      </c>
      <c r="E3" s="9" t="str">
        <f>ScoutingData[[#This Row],[eventCode]]&amp;"_"&amp;ScoutingData[[#This Row],[matchLevel]]&amp;ScoutingData[[#This Row],[matchNumber]]</f>
        <v>2023curie_qm2</v>
      </c>
      <c r="F3" s="8" t="s">
        <v>160</v>
      </c>
      <c r="G3" s="8">
        <v>7021</v>
      </c>
      <c r="H3" s="8">
        <v>11</v>
      </c>
      <c r="I3" s="9" t="s">
        <v>161</v>
      </c>
      <c r="J3">
        <v>3</v>
      </c>
      <c r="K3" s="8"/>
      <c r="L3" s="8"/>
      <c r="M3" s="8">
        <v>0</v>
      </c>
      <c r="N3" s="8" t="s">
        <v>162</v>
      </c>
      <c r="O3" s="8"/>
      <c r="P3" s="8" t="s">
        <v>163</v>
      </c>
      <c r="Q3" s="8"/>
      <c r="R3" s="9"/>
      <c r="S3" s="9"/>
      <c r="T3" s="9"/>
      <c r="U3" s="9"/>
      <c r="V3" s="9" t="s">
        <v>78</v>
      </c>
      <c r="W3" t="s">
        <v>164</v>
      </c>
      <c r="X3" s="9"/>
      <c r="Y3" t="s">
        <v>162</v>
      </c>
      <c r="Z3">
        <v>3</v>
      </c>
      <c r="AA3" s="9"/>
      <c r="AC3" s="9"/>
      <c r="AD3" s="9"/>
      <c r="AE3" s="9"/>
      <c r="AF3" s="9">
        <v>0</v>
      </c>
      <c r="AG3" s="9">
        <v>0</v>
      </c>
      <c r="AH3">
        <v>0</v>
      </c>
      <c r="AI3" s="9"/>
      <c r="AJ3" s="9"/>
      <c r="AK3" s="9">
        <f>getTotalCount(ScoutingData[[#This Row],[autoScoredGrid]])</f>
        <v>1</v>
      </c>
      <c r="AL3" s="9">
        <f>getCubeCount(ScoutingData[[#This Row],[autoScoredGrid]])</f>
        <v>1</v>
      </c>
      <c r="AM3" s="9">
        <f>getConeCount(ScoutingData[[#This Row],[autoScoredGrid]])</f>
        <v>0</v>
      </c>
      <c r="AN3" s="9">
        <f>getHighCount(ScoutingData[[#This Row],[autoScoredGrid]])</f>
        <v>1</v>
      </c>
      <c r="AO3" s="9">
        <f>getMedCount(ScoutingData[[#This Row],[autoScoredGrid]])</f>
        <v>0</v>
      </c>
      <c r="AP3" s="9">
        <f>getLowCount(ScoutingData[[#This Row],[autoScoredGrid]])</f>
        <v>0</v>
      </c>
      <c r="AQ3" s="9" t="e">
        <f>getAvgCycleTime(ScoutingData[[#This Row],[cycleTimes]])</f>
        <v>#VALUE!</v>
      </c>
      <c r="AR3" s="9">
        <f>getTotalCount(ScoutingData[[#This Row],[scoredGrid]])</f>
        <v>6</v>
      </c>
      <c r="AS3" s="9">
        <f>getCubeCount(ScoutingData[[#This Row],[scoredGrid]])</f>
        <v>1</v>
      </c>
      <c r="AT3" s="9">
        <f>getConeCount(ScoutingData[[#This Row],[scoredGrid]])</f>
        <v>5</v>
      </c>
      <c r="AU3" s="9">
        <f>getHighCount(ScoutingData[[#This Row],[scoredGrid]])</f>
        <v>3</v>
      </c>
      <c r="AV3" s="9">
        <f>getMedCount(ScoutingData[[#This Row],[scoredGrid]])</f>
        <v>3</v>
      </c>
      <c r="AW3" s="9">
        <f>getLowCount(ScoutingData[[#This Row],[scoredGrid]])</f>
        <v>0</v>
      </c>
      <c r="AX3" s="9">
        <f>ScoutingData[[#This Row],[autoGamePieces]]+ScoutingData[[#This Row],[teleopGamePieces]]</f>
        <v>7</v>
      </c>
      <c r="AY3" s="9">
        <f>ScoutingData[[#This Row],[autoCubes]]+ScoutingData[[#This Row],[teleopCubes]]</f>
        <v>2</v>
      </c>
      <c r="AZ3" s="9">
        <f>ScoutingData[[#This Row],[autoCones]]+ScoutingData[[#This Row],[teleopCones]]</f>
        <v>5</v>
      </c>
      <c r="BA3" s="9">
        <f>ScoutingData[[#This Row],[autoHigh]]+ScoutingData[[#This Row],[teleopHigh]]</f>
        <v>4</v>
      </c>
      <c r="BB3" s="9">
        <f>ScoutingData[[#This Row],[autoMed]]+ScoutingData[[#This Row],[teleopMed]]</f>
        <v>3</v>
      </c>
      <c r="BC3" s="9">
        <f>ScoutingData[[#This Row],[autoLow]]+ScoutingData[[#This Row],[teleopLow]]</f>
        <v>0</v>
      </c>
      <c r="BD3" s="9" t="str">
        <f>IF(ScoutingData[[#This Row],[autoStartingLocation]]&lt;=36,"smooth",IF(ScoutingData[[#This Row],[autoStartingLocation]]&gt;=61,"bump","middle"))</f>
        <v>smooth</v>
      </c>
      <c r="BE3" s="9" t="str">
        <f>IF(ScoutingData[[#This Row],[autoDocked]] = "x", "no attempt", IF(ScoutingData[[#This Row],[autoDocked]] = "d", "docked", IF(ScoutingData[[#This Row],[autoDocked]] = "c", "charged","failed")))</f>
        <v>failed</v>
      </c>
      <c r="BF3" s="9" t="str">
        <f>IF(ScoutingData[[#This Row],[autoMobility]] = 1, "yes", "no")</f>
        <v>no</v>
      </c>
      <c r="BG3" s="9">
        <f>IF(ScoutingData[[#This Row],[starting position]] = "smooth", 1, IF(ScoutingData[[#This Row],[starting position]] = "middle", 2, 3)) + IF(ScoutingData[[#This Row],[auto climb]] = "no attempt", 0, 3)</f>
        <v>4</v>
      </c>
      <c r="BH3" s="9">
        <f>IF(ScoutingData[[#This Row],[autoDocked]] = "d", 8, IF(ScoutingData[[#This Row],[autoDocked]] = "c", 12,0)) + 6*ScoutingData[[#This Row],[autoHigh]] + 4*ScoutingData[[#This Row],[autoMed]] + 3*ScoutingData[[#This Row],[autoLow]] + IF(ScoutingData[[#This Row],[auto line cross]]="yes", 3,0)</f>
        <v>6</v>
      </c>
      <c r="BI3" s="9">
        <f>5*ScoutingData[[#This Row],[teleopHigh]]+3*ScoutingData[[#This Row],[teleopMed]]+2*ScoutingData[[#This Row],[teleopLow]]</f>
        <v>24</v>
      </c>
      <c r="BJ3" s="9" t="str">
        <f>IF(ScoutingData[[#This Row],[finalState]] = "x", "no", IF(ScoutingData[[#This Row],[finalState]] = "p", "no", "yes"))</f>
        <v>yes</v>
      </c>
      <c r="BK3" s="9" t="str">
        <f>IF(ScoutingData[[#This Row],[finalState]] = "x", "no attempt", IF(ScoutingData[[#This Row],[finalState]] = "p", "parked", IF(ScoutingData[[#This Row],[finalState]] = "d", "docked", IF(ScoutingData[[#This Row],[finalState]] = "c", "charged", "failed"))))</f>
        <v>failed</v>
      </c>
      <c r="BL3" s="9">
        <f>IF(ScoutingData[[#This Row],[finalState]] = "x", 0, IF(ScoutingData[[#This Row],[finalState]] = "p", 2, IF(ScoutingData[[#This Row],[finalState]] = "d", 6, IF(ScoutingData[[#This Row],[finalState]] = "c", 10, 0))))</f>
        <v>0</v>
      </c>
      <c r="BM3" s="9">
        <f>ScoutingData[[#This Row],[total auto pts]]+ScoutingData[[#This Row],[total teleop pts]]+ScoutingData[[#This Row],[end pts]]</f>
        <v>30</v>
      </c>
      <c r="BN3" s="9">
        <f>getHighCubeCount(ScoutingData[[#This Row],[autoScoredGrid]])</f>
        <v>1</v>
      </c>
      <c r="BO3" s="9">
        <f>getHighConeCount(ScoutingData[[#This Row],[autoScoredGrid]])</f>
        <v>0</v>
      </c>
      <c r="BP3" s="9">
        <f>getMidCubeCount(ScoutingData[[#This Row],[autoScoredGrid]])</f>
        <v>0</v>
      </c>
      <c r="BQ3" s="9">
        <f>getMidConeCount(ScoutingData[[#This Row],[autoScoredGrid]])</f>
        <v>0</v>
      </c>
      <c r="BR3" s="9">
        <f>getHighCubeCount(ScoutingData[[#This Row],[scoredGrid]])</f>
        <v>1</v>
      </c>
      <c r="BS3" s="9">
        <f>getHighConeCount(ScoutingData[[#This Row],[scoredGrid]])</f>
        <v>2</v>
      </c>
      <c r="BT3" s="9">
        <f>getMidCubeCount(ScoutingData[[#This Row],[scoredGrid]])</f>
        <v>0</v>
      </c>
      <c r="BU3" s="9">
        <f>getMidConeCount(ScoutingData[[#This Row],[scoredGrid]])</f>
        <v>3</v>
      </c>
      <c r="BV3" s="9">
        <f>ScoutingData[[#This Row],[Auto High Cube]]+ScoutingData[[#This Row],[Teleop High Cube]]</f>
        <v>2</v>
      </c>
      <c r="BW3" s="9">
        <f>ScoutingData[[#This Row],[Auto High Cone]]+ScoutingData[[#This Row],[Teleop High Cone]]</f>
        <v>2</v>
      </c>
      <c r="BX3" s="9">
        <f>ScoutingData[[#This Row],[Auto Mid Cube]]+ScoutingData[[#This Row],[Teleop Mid Cube]]</f>
        <v>0</v>
      </c>
      <c r="BY3" s="9">
        <f>ScoutingData[[#This Row],[Auto Mid Cone]]+ScoutingData[[#This Row],[Teleop Mid Cone]]</f>
        <v>3</v>
      </c>
    </row>
  </sheetData>
  <sheetProtection selectLockedCells="1"/>
  <phoneticPr fontId="4" type="noConversion"/>
  <conditionalFormatting sqref="I1:J1 I4:J1048576">
    <cfRule type="expression" dxfId="37" priority="7">
      <formula>INDIRECT("ScoutingData[@taxi]")&lt;&gt;LEFT(INDIRECT("ScoutingData[@apiTaxi]"),1)</formula>
    </cfRule>
  </conditionalFormatting>
  <conditionalFormatting sqref="T1 T4:T1048576">
    <cfRule type="expression" dxfId="36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topLeftCell="A2" zoomScaleNormal="100" workbookViewId="0">
      <selection activeCell="N7" sqref="N7"/>
    </sheetView>
  </sheetViews>
  <sheetFormatPr defaultRowHeight="14.4" x14ac:dyDescent="0.3"/>
  <cols>
    <col min="2" max="13" width="6.88671875" customWidth="1"/>
  </cols>
  <sheetData>
    <row r="1" spans="2:13" ht="30" customHeight="1" x14ac:dyDescent="0.3"/>
    <row r="2" spans="2:13" ht="40.049999999999997" customHeight="1" x14ac:dyDescent="0.3">
      <c r="B2" s="7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7">
        <v>12</v>
      </c>
    </row>
    <row r="3" spans="2:13" ht="40.049999999999997" customHeight="1" x14ac:dyDescent="0.3">
      <c r="B3" s="7">
        <v>13</v>
      </c>
      <c r="C3" s="7">
        <v>14</v>
      </c>
      <c r="D3" s="7">
        <v>15</v>
      </c>
      <c r="E3" s="7">
        <v>16</v>
      </c>
      <c r="F3" s="7">
        <v>17</v>
      </c>
      <c r="G3" s="7">
        <v>18</v>
      </c>
      <c r="H3" s="7">
        <v>19</v>
      </c>
      <c r="I3" s="7">
        <v>20</v>
      </c>
      <c r="J3" s="7">
        <v>21</v>
      </c>
      <c r="K3" s="7">
        <v>22</v>
      </c>
      <c r="L3" s="7">
        <v>23</v>
      </c>
      <c r="M3" s="7">
        <v>24</v>
      </c>
    </row>
    <row r="4" spans="2:13" ht="40.049999999999997" customHeight="1" x14ac:dyDescent="0.3">
      <c r="B4" s="7">
        <v>25</v>
      </c>
      <c r="C4" s="7">
        <v>26</v>
      </c>
      <c r="D4" s="7">
        <v>27</v>
      </c>
      <c r="E4" s="7">
        <v>28</v>
      </c>
      <c r="F4" s="7">
        <v>29</v>
      </c>
      <c r="G4" s="7">
        <v>30</v>
      </c>
      <c r="H4" s="7">
        <v>31</v>
      </c>
      <c r="I4" s="7">
        <v>32</v>
      </c>
      <c r="J4" s="7">
        <v>33</v>
      </c>
      <c r="K4" s="7">
        <v>34</v>
      </c>
      <c r="L4" s="7">
        <v>35</v>
      </c>
      <c r="M4" s="7">
        <v>36</v>
      </c>
    </row>
    <row r="5" spans="2:13" ht="40.049999999999997" customHeight="1" x14ac:dyDescent="0.3">
      <c r="B5" s="7">
        <v>37</v>
      </c>
      <c r="C5" s="7">
        <v>38</v>
      </c>
      <c r="D5" s="7">
        <v>39</v>
      </c>
      <c r="E5" s="7">
        <v>40</v>
      </c>
      <c r="F5" s="7">
        <v>41</v>
      </c>
      <c r="G5" s="7">
        <v>42</v>
      </c>
      <c r="H5" s="7">
        <v>43</v>
      </c>
      <c r="I5" s="7">
        <v>44</v>
      </c>
      <c r="J5" s="7">
        <v>45</v>
      </c>
      <c r="K5" s="7">
        <v>46</v>
      </c>
      <c r="L5" s="7">
        <v>47</v>
      </c>
      <c r="M5" s="7">
        <v>48</v>
      </c>
    </row>
    <row r="6" spans="2:13" ht="40.049999999999997" customHeight="1" x14ac:dyDescent="0.3">
      <c r="B6" s="7">
        <v>49</v>
      </c>
      <c r="C6" s="7">
        <v>50</v>
      </c>
      <c r="D6" s="7">
        <v>51</v>
      </c>
      <c r="E6" s="7">
        <v>52</v>
      </c>
      <c r="F6" s="7">
        <v>53</v>
      </c>
      <c r="G6" s="7">
        <v>54</v>
      </c>
      <c r="H6" s="7">
        <v>55</v>
      </c>
      <c r="I6" s="7">
        <v>56</v>
      </c>
      <c r="J6" s="7">
        <v>57</v>
      </c>
      <c r="K6" s="7">
        <v>58</v>
      </c>
      <c r="L6" s="7">
        <v>59</v>
      </c>
      <c r="M6" s="7">
        <v>60</v>
      </c>
    </row>
    <row r="7" spans="2:13" ht="40.049999999999997" customHeight="1" x14ac:dyDescent="0.3">
      <c r="B7" s="7">
        <v>61</v>
      </c>
      <c r="C7" s="7">
        <v>62</v>
      </c>
      <c r="D7" s="7">
        <v>63</v>
      </c>
      <c r="E7" s="7">
        <v>64</v>
      </c>
      <c r="F7" s="7">
        <v>65</v>
      </c>
      <c r="G7" s="7">
        <v>66</v>
      </c>
      <c r="H7" s="7">
        <v>67</v>
      </c>
      <c r="I7" s="7">
        <v>68</v>
      </c>
      <c r="J7" s="7">
        <v>69</v>
      </c>
      <c r="K7" s="7">
        <v>70</v>
      </c>
      <c r="L7" s="7">
        <v>71</v>
      </c>
      <c r="M7" s="7">
        <v>72</v>
      </c>
    </row>
    <row r="11" spans="2:13" x14ac:dyDescent="0.3">
      <c r="D11" s="5"/>
    </row>
    <row r="12" spans="2:13" x14ac:dyDescent="0.3">
      <c r="D12" s="5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3568F-C972-4D3C-84F1-DFE32FA8E1D0}">
  <sheetPr codeName="Sheet5"/>
  <dimension ref="A1:AN5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3" sqref="H13"/>
    </sheetView>
  </sheetViews>
  <sheetFormatPr defaultColWidth="2.77734375" defaultRowHeight="14.4" x14ac:dyDescent="0.3"/>
  <cols>
    <col min="1" max="5" width="8" style="19" customWidth="1"/>
    <col min="6" max="8" width="8.5546875" style="19" customWidth="1"/>
    <col min="9" max="9" width="10.33203125" style="19" hidden="1" customWidth="1"/>
    <col min="10" max="14" width="8.5546875" style="19" hidden="1" customWidth="1"/>
    <col min="15" max="15" width="12.77734375" style="19" customWidth="1"/>
    <col min="16" max="18" width="8.5546875" style="19" customWidth="1"/>
    <col min="19" max="23" width="8.5546875" style="19" hidden="1" customWidth="1"/>
    <col min="24" max="25" width="8.5546875" style="19" customWidth="1"/>
    <col min="26" max="27" width="8.5546875" style="19" hidden="1" customWidth="1"/>
    <col min="28" max="29" width="8.5546875" style="19" customWidth="1"/>
    <col min="30" max="30" width="8.5546875" style="19" hidden="1" customWidth="1"/>
    <col min="31" max="34" width="8.5546875" style="19" customWidth="1"/>
    <col min="35" max="35" width="100.77734375" style="19" customWidth="1"/>
    <col min="36" max="36" width="9.44140625" style="19" bestFit="1" customWidth="1"/>
    <col min="37" max="37" width="17.33203125" style="19" bestFit="1" customWidth="1"/>
    <col min="38" max="39" width="16.88671875" style="19" bestFit="1" customWidth="1"/>
    <col min="40" max="40" width="9.44140625" style="19" bestFit="1" customWidth="1"/>
  </cols>
  <sheetData>
    <row r="1" spans="1:40" ht="26.4" customHeight="1" x14ac:dyDescent="0.3">
      <c r="A1" s="34" t="s">
        <v>167</v>
      </c>
      <c r="B1" s="32">
        <v>7021</v>
      </c>
      <c r="C1" s="33"/>
    </row>
    <row r="2" spans="1:40" ht="32.4" customHeight="1" x14ac:dyDescent="0.3">
      <c r="A2" s="34" t="s">
        <v>158</v>
      </c>
      <c r="B2" s="32">
        <v>1</v>
      </c>
      <c r="C2" s="32">
        <v>100</v>
      </c>
    </row>
    <row r="3" spans="1:40" s="20" customFormat="1" ht="42" customHeight="1" x14ac:dyDescent="0.3">
      <c r="A3" s="20" t="s">
        <v>137</v>
      </c>
      <c r="B3" s="20" t="s">
        <v>118</v>
      </c>
      <c r="C3" s="20" t="s">
        <v>95</v>
      </c>
      <c r="D3" s="20" t="s">
        <v>138</v>
      </c>
      <c r="E3" s="20" t="s">
        <v>139</v>
      </c>
      <c r="F3" s="27" t="s">
        <v>140</v>
      </c>
      <c r="G3" s="22" t="s">
        <v>141</v>
      </c>
      <c r="H3" s="22" t="s">
        <v>143</v>
      </c>
      <c r="I3" s="22" t="s">
        <v>142</v>
      </c>
      <c r="J3" s="22" t="s">
        <v>124</v>
      </c>
      <c r="K3" s="22" t="s">
        <v>126</v>
      </c>
      <c r="L3" s="22" t="s">
        <v>127</v>
      </c>
      <c r="M3" s="22" t="s">
        <v>128</v>
      </c>
      <c r="N3" s="22" t="s">
        <v>144</v>
      </c>
      <c r="O3" s="22" t="s">
        <v>119</v>
      </c>
      <c r="P3" s="22" t="s">
        <v>120</v>
      </c>
      <c r="Q3" s="28" t="s">
        <v>121</v>
      </c>
      <c r="R3" s="23" t="s">
        <v>122</v>
      </c>
      <c r="S3" s="23" t="s">
        <v>129</v>
      </c>
      <c r="T3" s="23" t="s">
        <v>130</v>
      </c>
      <c r="U3" s="23" t="s">
        <v>131</v>
      </c>
      <c r="V3" s="23" t="s">
        <v>132</v>
      </c>
      <c r="W3" s="23" t="s">
        <v>145</v>
      </c>
      <c r="X3" s="29" t="s">
        <v>123</v>
      </c>
      <c r="Y3" s="24" t="s">
        <v>146</v>
      </c>
      <c r="Z3" s="24" t="s">
        <v>147</v>
      </c>
      <c r="AA3" s="24" t="s">
        <v>148</v>
      </c>
      <c r="AB3" s="25" t="s">
        <v>149</v>
      </c>
      <c r="AC3" s="25" t="s">
        <v>150</v>
      </c>
      <c r="AD3" s="25" t="s">
        <v>151</v>
      </c>
      <c r="AE3" s="30" t="s">
        <v>152</v>
      </c>
      <c r="AF3" s="26" t="s">
        <v>153</v>
      </c>
      <c r="AG3" s="26" t="s">
        <v>154</v>
      </c>
      <c r="AH3" s="26" t="s">
        <v>155</v>
      </c>
      <c r="AI3" s="26" t="s">
        <v>156</v>
      </c>
      <c r="AJ3" s="26" t="s">
        <v>157</v>
      </c>
    </row>
    <row r="4" spans="1:40" x14ac:dyDescent="0.3">
      <c r="A4" s="21" t="s">
        <v>0</v>
      </c>
      <c r="B4" s="19">
        <v>2</v>
      </c>
      <c r="C4" s="19">
        <v>7021</v>
      </c>
      <c r="D4" s="21" t="s">
        <v>160</v>
      </c>
      <c r="E4" s="21" t="s">
        <v>159</v>
      </c>
      <c r="F4" s="19">
        <v>30</v>
      </c>
      <c r="G4" s="21" t="s">
        <v>133</v>
      </c>
      <c r="H4" s="19">
        <v>1</v>
      </c>
      <c r="I4" s="19">
        <v>3</v>
      </c>
      <c r="J4" s="19">
        <v>1</v>
      </c>
      <c r="K4" s="19">
        <v>0</v>
      </c>
      <c r="L4" s="19">
        <v>0</v>
      </c>
      <c r="M4" s="19">
        <v>0</v>
      </c>
      <c r="N4" s="19">
        <v>0</v>
      </c>
      <c r="O4" s="21" t="s">
        <v>165</v>
      </c>
      <c r="P4" s="21" t="s">
        <v>166</v>
      </c>
      <c r="Q4" s="19">
        <v>6</v>
      </c>
      <c r="R4" s="19">
        <v>6</v>
      </c>
      <c r="S4" s="19">
        <v>1</v>
      </c>
      <c r="T4" s="19">
        <v>2</v>
      </c>
      <c r="U4" s="19">
        <v>0</v>
      </c>
      <c r="V4" s="19">
        <v>3</v>
      </c>
      <c r="W4" s="19">
        <v>0</v>
      </c>
      <c r="X4" s="19">
        <v>24</v>
      </c>
      <c r="Y4" s="19">
        <v>7</v>
      </c>
      <c r="Z4" s="19">
        <v>2</v>
      </c>
      <c r="AA4" s="19">
        <v>5</v>
      </c>
      <c r="AB4" s="21" t="s">
        <v>135</v>
      </c>
      <c r="AC4" s="21" t="s">
        <v>165</v>
      </c>
      <c r="AD4" s="19">
        <v>3</v>
      </c>
      <c r="AE4" s="19">
        <v>0</v>
      </c>
      <c r="AF4" s="19">
        <v>0</v>
      </c>
      <c r="AG4" s="19">
        <v>0</v>
      </c>
      <c r="AH4" s="19">
        <v>0</v>
      </c>
      <c r="AJ4" s="19">
        <f>IF(AND(OR($B$1 = ScoutingData_2[[#This Row],[Team '#]],$B$1 = ""),ScoutingData_2[[#This Row],[Match '#]]&gt;=$B$2,ScoutingData_2[[#This Row],[Match '#]]&lt;=$C$2),1,0)</f>
        <v>1</v>
      </c>
      <c r="AK4"/>
      <c r="AL4"/>
      <c r="AM4"/>
      <c r="AN4"/>
    </row>
    <row r="5" spans="1:40" x14ac:dyDescent="0.3">
      <c r="A5" s="21" t="s">
        <v>0</v>
      </c>
      <c r="B5" s="19">
        <v>21</v>
      </c>
      <c r="C5" s="19">
        <v>7021</v>
      </c>
      <c r="D5" s="21" t="s">
        <v>81</v>
      </c>
      <c r="E5" s="21" t="s">
        <v>79</v>
      </c>
      <c r="F5" s="19">
        <v>52</v>
      </c>
      <c r="G5" s="21" t="s">
        <v>133</v>
      </c>
      <c r="H5" s="19">
        <v>4</v>
      </c>
      <c r="I5" s="19">
        <v>3</v>
      </c>
      <c r="J5" s="19">
        <v>2</v>
      </c>
      <c r="K5" s="19">
        <v>1</v>
      </c>
      <c r="L5" s="19">
        <v>0</v>
      </c>
      <c r="M5" s="19">
        <v>0</v>
      </c>
      <c r="N5" s="19">
        <v>1</v>
      </c>
      <c r="O5" s="21" t="s">
        <v>134</v>
      </c>
      <c r="P5" s="21" t="s">
        <v>135</v>
      </c>
      <c r="Q5" s="19">
        <v>24</v>
      </c>
      <c r="R5" s="19">
        <v>6</v>
      </c>
      <c r="S5" s="19">
        <v>1</v>
      </c>
      <c r="T5" s="19">
        <v>1</v>
      </c>
      <c r="U5" s="19">
        <v>1</v>
      </c>
      <c r="V5" s="19">
        <v>3</v>
      </c>
      <c r="W5" s="19">
        <v>0</v>
      </c>
      <c r="X5" s="19">
        <v>22</v>
      </c>
      <c r="Y5" s="19">
        <v>10</v>
      </c>
      <c r="Z5" s="19">
        <v>4</v>
      </c>
      <c r="AA5" s="19">
        <v>6</v>
      </c>
      <c r="AB5" s="21" t="s">
        <v>135</v>
      </c>
      <c r="AC5" s="21" t="s">
        <v>136</v>
      </c>
      <c r="AD5" s="19">
        <v>2</v>
      </c>
      <c r="AE5" s="19">
        <v>6</v>
      </c>
      <c r="AF5" s="19">
        <v>1</v>
      </c>
      <c r="AG5" s="19">
        <v>1</v>
      </c>
      <c r="AH5" s="19">
        <v>1</v>
      </c>
      <c r="AJ5" s="19">
        <f>IF(AND(OR($B$1 = ScoutingData_2[[#This Row],[Team '#]],$B$1 = ""),ScoutingData_2[[#This Row],[Match '#]]&gt;=$B$2,ScoutingData_2[[#This Row],[Match '#]]&lt;=$C$2),1,0)</f>
        <v>1</v>
      </c>
      <c r="AK5"/>
      <c r="AL5"/>
      <c r="AM5"/>
      <c r="AN5"/>
    </row>
  </sheetData>
  <phoneticPr fontId="4" type="noConversion"/>
  <pageMargins left="0.7" right="0.7" top="0.75" bottom="0.75" header="0.3" footer="0.3"/>
  <pageSetup orientation="portrait" horizontalDpi="200" verticalDpi="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0A445-C078-4FC5-A404-9450189D3D4D}">
  <sheetPr codeName="Sheet2"/>
  <dimension ref="A1:U7"/>
  <sheetViews>
    <sheetView tabSelected="1" workbookViewId="0">
      <selection activeCell="C10" sqref="C10"/>
    </sheetView>
  </sheetViews>
  <sheetFormatPr defaultRowHeight="14.4" x14ac:dyDescent="0.3"/>
  <cols>
    <col min="1" max="1" width="14.77734375" customWidth="1"/>
    <col min="2" max="2" width="19.44140625" customWidth="1"/>
    <col min="3" max="3" width="11" customWidth="1"/>
    <col min="4" max="4" width="18.109375" customWidth="1"/>
    <col min="5" max="6" width="16.21875" customWidth="1"/>
    <col min="7" max="13" width="15.88671875" customWidth="1"/>
    <col min="14" max="14" width="17.21875" customWidth="1"/>
    <col min="15" max="15" width="19.33203125" customWidth="1"/>
    <col min="16" max="18" width="16.33203125" customWidth="1"/>
    <col min="19" max="21" width="12.5546875" customWidth="1"/>
    <col min="27" max="28" width="14.77734375" customWidth="1"/>
  </cols>
  <sheetData>
    <row r="1" spans="1:21" ht="24.6" customHeight="1" x14ac:dyDescent="0.3">
      <c r="A1" t="s">
        <v>158</v>
      </c>
      <c r="B1">
        <v>1</v>
      </c>
      <c r="C1">
        <v>21</v>
      </c>
    </row>
    <row r="2" spans="1:21" ht="24.6" customHeight="1" x14ac:dyDescent="0.5">
      <c r="B2" t="b">
        <v>0</v>
      </c>
      <c r="C2" s="35" t="str">
        <f>IF(B2,"MAXIMUM","AVERAGE")</f>
        <v>AVERAGE</v>
      </c>
      <c r="D2" s="37"/>
    </row>
    <row r="3" spans="1:21" ht="24.6" customHeight="1" x14ac:dyDescent="0.5">
      <c r="C3" s="36"/>
      <c r="D3" s="37"/>
    </row>
    <row r="4" spans="1:21" s="19" customFormat="1" ht="30.6" customHeight="1" x14ac:dyDescent="0.3">
      <c r="A4" s="16" t="s">
        <v>95</v>
      </c>
      <c r="B4" s="17" t="s">
        <v>96</v>
      </c>
      <c r="C4" s="18" t="s">
        <v>105</v>
      </c>
      <c r="D4" s="17" t="s">
        <v>98</v>
      </c>
      <c r="E4" s="17" t="s">
        <v>117</v>
      </c>
      <c r="F4" s="17" t="s">
        <v>116</v>
      </c>
      <c r="G4" s="17" t="s">
        <v>109</v>
      </c>
      <c r="H4" s="17" t="s">
        <v>99</v>
      </c>
      <c r="I4" s="17" t="s">
        <v>100</v>
      </c>
      <c r="J4" s="17" t="s">
        <v>101</v>
      </c>
      <c r="K4" s="17" t="s">
        <v>106</v>
      </c>
      <c r="L4" s="17" t="s">
        <v>107</v>
      </c>
      <c r="M4" s="17" t="s">
        <v>108</v>
      </c>
      <c r="N4" s="17" t="s">
        <v>102</v>
      </c>
      <c r="O4" s="17" t="s">
        <v>115</v>
      </c>
      <c r="P4" s="17" t="s">
        <v>113</v>
      </c>
      <c r="Q4" s="17" t="s">
        <v>110</v>
      </c>
      <c r="R4" s="17" t="s">
        <v>170</v>
      </c>
      <c r="S4" s="17" t="s">
        <v>111</v>
      </c>
      <c r="T4" s="17" t="s">
        <v>112</v>
      </c>
      <c r="U4" s="17" t="s">
        <v>114</v>
      </c>
    </row>
    <row r="5" spans="1:21" x14ac:dyDescent="0.3">
      <c r="A5" s="10">
        <v>7021</v>
      </c>
      <c r="B5" s="11" t="s">
        <v>97</v>
      </c>
      <c r="C5" s="12">
        <f>COUNTIFS('Match Scouting Data'!G:G,Table4[[#This Row],[Team '#]],'Match Scouting Data'!D:D,"&gt;="&amp;'Team Data'!$B$1,'Match Scouting Data'!D:D,"&lt;="&amp;'Team Data'!$C$1)</f>
        <v>2</v>
      </c>
      <c r="D5">
        <f>IFERROR(IF($B$2,_xlfn.MAXIFS('Match Scouting Data'!BM:BM,'Match Scouting Data'!G:G,Table4[[#This Row],[Team '#]],'Match Scouting Data'!D:D,"&gt;="&amp;'Team Data'!$B$1,'Match Scouting Data'!D:D,"&lt;="&amp;'Team Data'!$C$1),AVERAGEIFS('Match Scouting Data'!BM:BM,'Match Scouting Data'!G:G,Table4[[#This Row],[Team '#]],'Match Scouting Data'!D:D,"&gt;="&amp;'Team Data'!$B$1,'Match Scouting Data'!D:D,"&lt;="&amp;'Team Data'!$C$1)),"")</f>
        <v>41</v>
      </c>
      <c r="G5">
        <f>IFERROR(IF($B$2,_xlfn.MAXIFS('Match Scouting Data'!BH:BH,'Match Scouting Data'!G:G,Table4[[#This Row],[Team '#]],'Match Scouting Data'!D:D,"&gt;="&amp;'Team Data'!$B$1,'Match Scouting Data'!D:D,"&lt;="&amp;'Team Data'!$C$1),AVERAGEIFS('Match Scouting Data'!BH:BH,'Match Scouting Data'!G:G,Table4[[#This Row],[Team '#]],'Match Scouting Data'!D:D,"&gt;="&amp;'Team Data'!$B$1,'Match Scouting Data'!D:D,"&lt;="&amp;'Team Data'!$C$1)),"")</f>
        <v>15</v>
      </c>
    </row>
    <row r="6" spans="1:21" x14ac:dyDescent="0.3">
      <c r="A6" s="10">
        <v>2451</v>
      </c>
      <c r="B6" s="11" t="s">
        <v>104</v>
      </c>
      <c r="C6" s="12">
        <f>COUNTIFS('Match Scouting Data'!G:G,Table4[[#This Row],[Team '#]],'Match Scouting Data'!D:D,"&gt;="&amp;'Team Data'!$B$1,'Match Scouting Data'!D:D,"&lt;="&amp;'Team Data'!$C$1)</f>
        <v>0</v>
      </c>
      <c r="D6" t="str">
        <f>IFERROR(IF($B$2,_xlfn.MAXIFS('Match Scouting Data'!BM:BM,'Match Scouting Data'!G:G,Table4[[#This Row],[Team '#]],'Match Scouting Data'!D:D,"&gt;="&amp;'Team Data'!$B$1,'Match Scouting Data'!D:D,"&lt;="&amp;'Team Data'!$C$1),AVERAGEIFS('Match Scouting Data'!BM:BM,'Match Scouting Data'!G:G,Table4[[#This Row],[Team '#]],'Match Scouting Data'!D:D,"&gt;="&amp;'Team Data'!$B$1,'Match Scouting Data'!D:D,"&lt;="&amp;'Team Data'!$C$1)),"")</f>
        <v/>
      </c>
      <c r="G6" t="str">
        <f>IFERROR(IF($B$2,_xlfn.MAXIFS('Match Scouting Data'!BH:BH,'Match Scouting Data'!G:G,Table4[[#This Row],[Team '#]],'Match Scouting Data'!D:D,"&gt;="&amp;'Team Data'!$B$1,'Match Scouting Data'!D:D,"&lt;="&amp;'Team Data'!$C$1),AVERAGEIFS('Match Scouting Data'!BH:BH,'Match Scouting Data'!G:G,Table4[[#This Row],[Team '#]],'Match Scouting Data'!D:D,"&gt;="&amp;'Team Data'!$B$1,'Match Scouting Data'!D:D,"&lt;="&amp;'Team Data'!$C$1)),"")</f>
        <v/>
      </c>
    </row>
    <row r="7" spans="1:21" x14ac:dyDescent="0.3">
      <c r="A7" s="13">
        <v>6059</v>
      </c>
      <c r="B7" s="14" t="s">
        <v>103</v>
      </c>
      <c r="C7" s="15">
        <f>COUNTIFS('Match Scouting Data'!G:G,Table4[[#This Row],[Team '#]],'Match Scouting Data'!D:D,"&gt;="&amp;'Team Data'!$B$1,'Match Scouting Data'!D:D,"&lt;="&amp;'Team Data'!$C$1)</f>
        <v>0</v>
      </c>
      <c r="D7" t="str">
        <f>IFERROR(IF($B$2,_xlfn.MAXIFS('Match Scouting Data'!BM:BM,'Match Scouting Data'!G:G,Table4[[#This Row],[Team '#]],'Match Scouting Data'!D:D,"&gt;="&amp;'Team Data'!$B$1,'Match Scouting Data'!D:D,"&lt;="&amp;'Team Data'!$C$1),AVERAGEIFS('Match Scouting Data'!BM:BM,'Match Scouting Data'!G:G,Table4[[#This Row],[Team '#]],'Match Scouting Data'!D:D,"&gt;="&amp;'Team Data'!$B$1,'Match Scouting Data'!D:D,"&lt;="&amp;'Team Data'!$C$1)),"")</f>
        <v/>
      </c>
      <c r="G7" t="str">
        <f>IFERROR(IF($B$2,_xlfn.MAXIFS('Match Scouting Data'!BH:BH,'Match Scouting Data'!G:G,Table4[[#This Row],[Team '#]],'Match Scouting Data'!D:D,"&gt;="&amp;'Team Data'!$B$1,'Match Scouting Data'!D:D,"&lt;="&amp;'Team Data'!$C$1),AVERAGEIFS('Match Scouting Data'!BH:BH,'Match Scouting Data'!G:G,Table4[[#This Row],[Team '#]],'Match Scouting Data'!D:D,"&gt;="&amp;'Team Data'!$B$1,'Match Scouting Data'!D:D,"&lt;="&amp;'Team Data'!$C$1)),"")</f>
        <v/>
      </c>
    </row>
  </sheetData>
  <phoneticPr fontId="4" type="noConversion"/>
  <pageMargins left="0.7" right="0.7" top="0.75" bottom="0.75" header="0.3" footer="0.3"/>
  <pageSetup orientation="portrait" horizontalDpi="200" verticalDpi="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C2EB-360B-44E2-A6FC-C236094C415B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AAA75E-9DC2-4942-BABD-7FF17D0E24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73</vt:i4>
      </vt:variant>
    </vt:vector>
  </HeadingPairs>
  <TitlesOfParts>
    <vt:vector size="80" baseType="lpstr">
      <vt:lpstr>Control</vt:lpstr>
      <vt:lpstr>Pit Scouting Data</vt:lpstr>
      <vt:lpstr>Match Scouting Data</vt:lpstr>
      <vt:lpstr>Image Maps</vt:lpstr>
      <vt:lpstr>Match Data</vt:lpstr>
      <vt:lpstr>Team Data</vt:lpstr>
      <vt:lpstr>Match Preview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Lakowske, Mitchel</cp:lastModifiedBy>
  <cp:lastPrinted>2022-10-13T02:17:35Z</cp:lastPrinted>
  <dcterms:created xsi:type="dcterms:W3CDTF">2020-02-08T00:47:28Z</dcterms:created>
  <dcterms:modified xsi:type="dcterms:W3CDTF">2023-04-18T20:40:37Z</dcterms:modified>
</cp:coreProperties>
</file>